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Roster" sheetId="2" state="visible" r:id="rId2"/>
    <sheet xmlns:r="http://schemas.openxmlformats.org/officeDocument/2006/relationships" name="Summary" sheetId="3" state="visible" r:id="rId3"/>
    <sheet xmlns:r="http://schemas.openxmlformats.org/officeDocument/2006/relationships" name="Skills reference" sheetId="4" state="visible" r:id="rId4"/>
    <sheet xmlns:r="http://schemas.openxmlformats.org/officeDocument/2006/relationships" name="Lists" sheetId="5" state="visible" r:id="rId5"/>
  </sheets>
  <definedNames>
    <definedName name="_xlnm._FilterDatabase" localSheetId="1" hidden="1">'Roster'!$A$1:$S$66</definedName>
    <definedName name="_xlnm._FilterDatabase" localSheetId="3" hidden="1">'Skills reference'!$A$1:$L$489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0000FF"/>
      <sz val="10"/>
    </font>
    <font>
      <name val="Arial"/>
      <b val="1"/>
      <sz val="10"/>
    </font>
    <font>
      <name val="Arial"/>
      <sz val="10"/>
    </font>
    <font>
      <name val="Arial"/>
      <color rgb="00999999"/>
      <sz val="10"/>
    </font>
    <font>
      <name val="Arial"/>
      <b val="1"/>
      <color rgb="000E2A47"/>
      <sz val="16"/>
    </font>
    <font>
      <name val="Arial"/>
      <b val="1"/>
      <color rgb="001F6BA8"/>
      <sz val="11"/>
    </font>
  </fonts>
  <fills count="9">
    <fill>
      <patternFill/>
    </fill>
    <fill>
      <patternFill patternType="gray125"/>
    </fill>
    <fill>
      <patternFill patternType="solid">
        <fgColor rgb="000E2A47"/>
      </patternFill>
    </fill>
    <fill>
      <patternFill patternType="solid">
        <fgColor rgb="00F7E3A1"/>
      </patternFill>
    </fill>
    <fill>
      <patternFill patternType="solid">
        <fgColor rgb="00FFF9DB"/>
      </patternFill>
    </fill>
    <fill>
      <patternFill patternType="solid">
        <fgColor rgb="00E4E7EB"/>
      </patternFill>
    </fill>
    <fill>
      <patternFill patternType="solid">
        <fgColor rgb="00E4D4F5"/>
      </patternFill>
    </fill>
    <fill>
      <patternFill patternType="solid">
        <fgColor rgb="00D3E5F8"/>
      </patternFill>
    </fill>
    <fill>
      <patternFill patternType="solid">
        <fgColor rgb="00F3F7FB"/>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26">
    <xf numFmtId="0" fontId="0" fillId="0" borderId="0" pivotButton="0" quotePrefix="0" xfId="0"/>
    <xf numFmtId="0" fontId="6" fillId="0" borderId="0" pivotButton="0" quotePrefix="0" xfId="0"/>
    <xf numFmtId="0" fontId="5" fillId="0" borderId="0" pivotButton="0" quotePrefix="0" xfId="0"/>
    <xf numFmtId="0" fontId="7"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0" fillId="0" borderId="0" applyAlignment="1" pivotButton="0" quotePrefix="0" xfId="0">
      <alignment vertical="top"/>
    </xf>
    <xf numFmtId="0" fontId="1" fillId="2" borderId="1" applyAlignment="1" pivotButton="0" quotePrefix="0" xfId="0">
      <alignment horizontal="center" vertical="center" wrapText="1"/>
    </xf>
    <xf numFmtId="0" fontId="4" fillId="0" borderId="1" pivotButton="0" quotePrefix="0" xfId="0"/>
    <xf numFmtId="0" fontId="3" fillId="0" borderId="1" pivotButton="0" quotePrefix="0" xfId="0"/>
    <xf numFmtId="0" fontId="4" fillId="3" borderId="1" pivotButton="0" quotePrefix="0" xfId="0"/>
    <xf numFmtId="0" fontId="2" fillId="4" borderId="1" applyAlignment="1" pivotButton="0" quotePrefix="0" xfId="0">
      <alignment horizontal="center"/>
    </xf>
    <xf numFmtId="0" fontId="2" fillId="4" borderId="1" pivotButton="0" quotePrefix="0" xfId="0"/>
    <xf numFmtId="0" fontId="4" fillId="0" borderId="1" applyAlignment="1" pivotButton="0" quotePrefix="0" xfId="0">
      <alignment horizontal="center"/>
    </xf>
    <xf numFmtId="0" fontId="5" fillId="0" borderId="1" pivotButton="0" quotePrefix="0" xfId="0"/>
    <xf numFmtId="0" fontId="5" fillId="5" borderId="1" applyAlignment="1" pivotButton="0" quotePrefix="0" xfId="0">
      <alignment horizontal="center"/>
    </xf>
    <xf numFmtId="0" fontId="4" fillId="6" borderId="1" pivotButton="0" quotePrefix="0" xfId="0"/>
    <xf numFmtId="0" fontId="4" fillId="7" borderId="1" pivotButton="0" quotePrefix="0" xfId="0"/>
    <xf numFmtId="0" fontId="4" fillId="8" borderId="1" pivotButton="0" quotePrefix="0" xfId="0"/>
    <xf numFmtId="0" fontId="3" fillId="8" borderId="1" pivotButton="0" quotePrefix="0" xfId="0"/>
    <xf numFmtId="0" fontId="3" fillId="8" borderId="1" applyAlignment="1" pivotButton="0" quotePrefix="0" xfId="0">
      <alignment horizontal="center"/>
    </xf>
    <xf numFmtId="0" fontId="1" fillId="2" borderId="1" applyAlignment="1" pivotButton="0" quotePrefix="0" xfId="0">
      <alignment horizontal="center"/>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dxfs count="3">
    <dxf>
      <font>
        <name val="Arial"/>
        <color rgb="00999999"/>
        <sz val="10"/>
      </font>
    </dxf>
    <dxf>
      <font>
        <name val="Arial"/>
        <b val="1"/>
        <color rgb="000F7F5B"/>
        <sz val="10"/>
      </font>
    </dxf>
    <dxf>
      <font>
        <name val="Arial"/>
        <color rgb="00B32A2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6" customWidth="1" min="1" max="1"/>
    <col width="110" customWidth="1" min="2" max="2"/>
  </cols>
  <sheetData>
    <row r="1">
      <c r="A1" s="1" t="inlineStr">
        <is>
          <t>DRS WOS Hero Roster Template</t>
        </is>
      </c>
    </row>
    <row r="2">
      <c r="A2" s="2" t="inlineStr">
        <is>
          <t>Digital Revenue Studio, Whiteout Survival Wiki. Draft v1, 26 October 2026. Unofficial fan tool.</t>
        </is>
      </c>
    </row>
    <row r="4">
      <c r="A4" s="3" t="inlineStr">
        <is>
          <t>How to use</t>
        </is>
      </c>
    </row>
    <row r="5">
      <c r="A5" s="4" t="inlineStr">
        <is>
          <t>1</t>
        </is>
      </c>
      <c r="B5" s="5" t="inlineStr">
        <is>
          <t>Open the Roster sheet. Every hero is listed by generation. Fill in the cream-coloured cells with blue text.</t>
        </is>
      </c>
    </row>
    <row r="6">
      <c r="A6" s="4" t="inlineStr">
        <is>
          <t>2</t>
        </is>
      </c>
      <c r="B6" s="5" t="inlineStr">
        <is>
          <t>Set "Have hero?" to Yes or No. For heroes you own, fill in stars, star progress, each skill level, and the widget level.</t>
        </is>
      </c>
    </row>
    <row r="7">
      <c r="A7" s="4" t="inlineStr">
        <is>
          <t>3</t>
        </is>
      </c>
      <c r="B7" s="5" t="inlineStr">
        <is>
          <t>Grey "n/a" cells mean that hero has no such skill or widget. Leave them alone.</t>
        </is>
      </c>
    </row>
    <row r="8">
      <c r="A8" s="4" t="inlineStr">
        <is>
          <t>4</t>
        </is>
      </c>
      <c r="B8" s="5" t="inlineStr">
        <is>
          <t>The Check column tells you if anything is missing. The Summary sheet counts your roster by generation.</t>
        </is>
      </c>
    </row>
    <row r="9">
      <c r="A9" s="4" t="inlineStr">
        <is>
          <t>5</t>
        </is>
      </c>
      <c r="B9" s="5" t="inlineStr">
        <is>
          <t>Save the file. You can import it into the DRS Roster Advisor and Bear tool (import coming in the next update). Do not rename the columns or the Hero ID column.</t>
        </is>
      </c>
    </row>
    <row r="10">
      <c r="A10" s="6" t="n"/>
    </row>
    <row r="11">
      <c r="A11" s="3" t="inlineStr">
        <is>
          <t>Columns</t>
        </is>
      </c>
    </row>
    <row r="12">
      <c r="A12" s="4" t="inlineStr">
        <is>
          <t>Stars</t>
        </is>
      </c>
      <c r="B12" s="5" t="inlineStr">
        <is>
          <t>0 to 5 stars.</t>
        </is>
      </c>
    </row>
    <row r="13">
      <c r="A13" s="4" t="inlineStr">
        <is>
          <t>Star progress</t>
        </is>
      </c>
      <c r="B13" s="5" t="inlineStr">
        <is>
          <t>How many of the 5 segments towards your next star you have filled (0 to 5). Use 0 for a 5-star hero.</t>
        </is>
      </c>
    </row>
    <row r="14">
      <c r="A14" s="4" t="inlineStr">
        <is>
          <t>Exploration Lv</t>
        </is>
      </c>
      <c r="B14" s="5" t="inlineStr">
        <is>
          <t>Levels 1 to 5 for the Exploration skills (PvE).</t>
        </is>
      </c>
    </row>
    <row r="15">
      <c r="A15" s="4" t="inlineStr">
        <is>
          <t>Expedition Lv</t>
        </is>
      </c>
      <c r="B15" s="5" t="inlineStr">
        <is>
          <t>Levels 1 to 5 for the Expedition skills (rallies, garrisons, field battles). The first Expedition skill is the one that counts when you join a Bear Trap rally. Natalia and Jeronimo have a fourth Expedition skill.</t>
        </is>
      </c>
    </row>
    <row r="16">
      <c r="A16" s="4" t="inlineStr">
        <is>
          <t>Widget level</t>
        </is>
      </c>
      <c r="B16" s="5" t="inlineStr">
        <is>
          <t>The exclusive weapon level for Mythic heroes (0 = none).</t>
        </is>
      </c>
    </row>
    <row r="17">
      <c r="A17" s="4" t="inlineStr">
        <is>
          <t>Bear joiner ready</t>
        </is>
      </c>
      <c r="B17" s="5" t="inlineStr">
        <is>
          <t>Calculated: owned, 4 stars or more, and first Expedition skill at level 5.</t>
        </is>
      </c>
    </row>
    <row r="18">
      <c r="A18" s="6" t="n"/>
    </row>
    <row r="19">
      <c r="A19" s="3" t="inlineStr">
        <is>
          <t>Example (not part of the roster)</t>
        </is>
      </c>
    </row>
    <row r="20">
      <c r="A20" s="4" t="inlineStr">
        <is>
          <t>Hero</t>
        </is>
      </c>
      <c r="B20" s="5" t="inlineStr">
        <is>
          <t>Molly (Gen 1, Mythic Lancer)</t>
        </is>
      </c>
    </row>
    <row r="21">
      <c r="A21" s="4" t="inlineStr">
        <is>
          <t>What you would enter</t>
        </is>
      </c>
      <c r="B21" s="5" t="inlineStr">
        <is>
          <t>Have hero? Yes | Stars 5 | Star progress 0 | Exploration 5, 5, 4 | Expedition 5, 4, 3 | Widget level 6</t>
        </is>
      </c>
    </row>
    <row r="22">
      <c r="A22" s="6" t="n"/>
    </row>
    <row r="23">
      <c r="A23" s="3" t="inlineStr">
        <is>
          <t>Sources and notes</t>
        </is>
      </c>
    </row>
    <row r="24">
      <c r="A24" s="4" t="inlineStr">
        <is>
          <t>Hero data</t>
        </is>
      </c>
      <c r="B24" s="5" t="inlineStr">
        <is>
          <t>Classes, skills and values come from the official hero pages (whiteoutsurvival.wiki). Skill descriptions are our own wording. Hero list and generations follow the state timeline.</t>
        </is>
      </c>
    </row>
    <row r="25">
      <c r="A25" s="4" t="inlineStr">
        <is>
          <t>Not included</t>
        </is>
      </c>
      <c r="B25" s="5" t="inlineStr">
        <is>
          <t>Gen 18 heroes (Aisha, Nikola, Jordan) are left out until their details are confirmed.</t>
        </is>
      </c>
    </row>
    <row r="26">
      <c r="A26" s="4" t="inlineStr">
        <is>
          <t>Privacy</t>
        </is>
      </c>
      <c r="B26" s="5" t="inlineStr">
        <is>
          <t>This file stays on your computer. Nothing is sent anywhere unless you choose to import it into a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11" customWidth="1" min="4" max="4"/>
    <col width="11" customWidth="1" min="5" max="5"/>
    <col width="8" customWidth="1" min="6" max="6"/>
    <col width="9" customWidth="1" min="7" max="7"/>
    <col width="12" customWidth="1" min="8" max="8"/>
    <col width="12" customWidth="1" min="9" max="9"/>
    <col width="12" customWidth="1" min="10" max="10"/>
    <col width="15" customWidth="1" min="11" max="11"/>
    <col width="12" customWidth="1" min="12" max="12"/>
    <col width="12" customWidth="1" min="13" max="13"/>
    <col width="17" customWidth="1" min="14" max="14"/>
    <col width="10" customWidth="1" min="15" max="15"/>
    <col width="28" customWidth="1" min="16" max="16"/>
    <col width="24" customWidth="1" min="17" max="17"/>
    <col width="14" customWidth="1" min="18" max="18"/>
    <col width="18" customWidth="1" min="19" max="19"/>
  </cols>
  <sheetData>
    <row r="1" ht="48" customHeight="1">
      <c r="A1" s="7" t="inlineStr">
        <is>
          <t>Gen</t>
        </is>
      </c>
      <c r="B1" s="7" t="inlineStr">
        <is>
          <t>Hero</t>
        </is>
      </c>
      <c r="C1" s="7" t="inlineStr">
        <is>
          <t>Rarity</t>
        </is>
      </c>
      <c r="D1" s="7" t="inlineStr">
        <is>
          <t>Class</t>
        </is>
      </c>
      <c r="E1" s="7" t="inlineStr">
        <is>
          <t>Have hero?</t>
        </is>
      </c>
      <c r="F1" s="7" t="inlineStr">
        <is>
          <t>Stars</t>
        </is>
      </c>
      <c r="G1" s="7" t="inlineStr">
        <is>
          <t>Star progress</t>
        </is>
      </c>
      <c r="H1" s="7" t="inlineStr">
        <is>
          <t>Exploration 1 Lv</t>
        </is>
      </c>
      <c r="I1" s="7" t="inlineStr">
        <is>
          <t>Exploration 2 Lv</t>
        </is>
      </c>
      <c r="J1" s="7" t="inlineStr">
        <is>
          <t>Exploration 3 Lv</t>
        </is>
      </c>
      <c r="K1" s="7" t="inlineStr">
        <is>
          <t>Expedition 1 Lv (first skill)</t>
        </is>
      </c>
      <c r="L1" s="7" t="inlineStr">
        <is>
          <t>Expedition 2 Lv</t>
        </is>
      </c>
      <c r="M1" s="7" t="inlineStr">
        <is>
          <t>Expedition 3 Lv</t>
        </is>
      </c>
      <c r="N1" s="7" t="inlineStr">
        <is>
          <t>Expedition 4 Lv (Natalia, Jeronimo only)</t>
        </is>
      </c>
      <c r="O1" s="7" t="inlineStr">
        <is>
          <t>Widget level</t>
        </is>
      </c>
      <c r="P1" s="7" t="inlineStr">
        <is>
          <t>Notes</t>
        </is>
      </c>
      <c r="Q1" s="7" t="inlineStr">
        <is>
          <t>Check</t>
        </is>
      </c>
      <c r="R1" s="7" t="inlineStr">
        <is>
          <t>Bear joiner ready?</t>
        </is>
      </c>
      <c r="S1" s="7" t="inlineStr">
        <is>
          <t>Hero ID</t>
        </is>
      </c>
    </row>
    <row r="2">
      <c r="A2" s="8" t="n">
        <v>1</v>
      </c>
      <c r="B2" s="9" t="inlineStr">
        <is>
          <t>Jeronimo</t>
        </is>
      </c>
      <c r="C2" s="10" t="inlineStr">
        <is>
          <t>Mythic</t>
        </is>
      </c>
      <c r="D2" s="8" t="inlineStr">
        <is>
          <t>Infantry</t>
        </is>
      </c>
      <c r="E2" s="11" t="n"/>
      <c r="F2" s="11" t="n"/>
      <c r="G2" s="11" t="n"/>
      <c r="H2" s="11" t="n"/>
      <c r="I2" s="11" t="n"/>
      <c r="J2" s="11" t="n"/>
      <c r="K2" s="11" t="n"/>
      <c r="L2" s="11" t="n"/>
      <c r="M2" s="11" t="n"/>
      <c r="N2" s="11" t="n"/>
      <c r="O2" s="11" t="n"/>
      <c r="P2" s="12" t="n"/>
      <c r="Q2" s="8">
        <f>IF(E2="Yes",IF(((F2="")+(G2="")+(H2="")+(I2="")+(J2="")+(K2="")+(L2="")+(M2="")+(N2="")+(O2=""))&gt;0,"Fill in the cream cells","OK"),IF(E2="No","Not owned",""))</f>
        <v/>
      </c>
      <c r="R2" s="13">
        <f>IF(AND(E2="Yes",F2&lt;&gt;"",F2&gt;=4,K2=5),"Yes","")</f>
        <v/>
      </c>
      <c r="S2" s="14" t="inlineStr">
        <is>
          <t>jeronimo</t>
        </is>
      </c>
    </row>
    <row r="3">
      <c r="A3" s="8" t="n">
        <v>1</v>
      </c>
      <c r="B3" s="9" t="inlineStr">
        <is>
          <t>Molly</t>
        </is>
      </c>
      <c r="C3" s="10" t="inlineStr">
        <is>
          <t>Mythic</t>
        </is>
      </c>
      <c r="D3" s="8" t="inlineStr">
        <is>
          <t>Lancer</t>
        </is>
      </c>
      <c r="E3" s="11" t="n"/>
      <c r="F3" s="11" t="n"/>
      <c r="G3" s="11" t="n"/>
      <c r="H3" s="11" t="n"/>
      <c r="I3" s="11" t="n"/>
      <c r="J3" s="11" t="n"/>
      <c r="K3" s="11" t="n"/>
      <c r="L3" s="11" t="n"/>
      <c r="M3" s="11" t="n"/>
      <c r="N3" s="15" t="inlineStr">
        <is>
          <t>n/a</t>
        </is>
      </c>
      <c r="O3" s="11" t="n"/>
      <c r="P3" s="12" t="n"/>
      <c r="Q3" s="8">
        <f>IF(E3="Yes",IF(((F3="")+(G3="")+(H3="")+(I3="")+(J3="")+(K3="")+(L3="")+(M3="")+(O3=""))&gt;0,"Fill in the cream cells","OK"),IF(E3="No","Not owned",""))</f>
        <v/>
      </c>
      <c r="R3" s="13">
        <f>IF(AND(E3="Yes",F3&lt;&gt;"",F3&gt;=4,K3=5),"Yes","")</f>
        <v/>
      </c>
      <c r="S3" s="14" t="inlineStr">
        <is>
          <t>molly</t>
        </is>
      </c>
    </row>
    <row r="4">
      <c r="A4" s="8" t="n">
        <v>1</v>
      </c>
      <c r="B4" s="9" t="inlineStr">
        <is>
          <t>Natalia</t>
        </is>
      </c>
      <c r="C4" s="10" t="inlineStr">
        <is>
          <t>Mythic</t>
        </is>
      </c>
      <c r="D4" s="8" t="inlineStr">
        <is>
          <t>Infantry</t>
        </is>
      </c>
      <c r="E4" s="11" t="n"/>
      <c r="F4" s="11" t="n"/>
      <c r="G4" s="11" t="n"/>
      <c r="H4" s="11" t="n"/>
      <c r="I4" s="11" t="n"/>
      <c r="J4" s="11" t="n"/>
      <c r="K4" s="11" t="n"/>
      <c r="L4" s="11" t="n"/>
      <c r="M4" s="11" t="n"/>
      <c r="N4" s="11" t="n"/>
      <c r="O4" s="11" t="n"/>
      <c r="P4" s="12" t="n"/>
      <c r="Q4" s="8">
        <f>IF(E4="Yes",IF(((F4="")+(G4="")+(H4="")+(I4="")+(J4="")+(K4="")+(L4="")+(M4="")+(N4="")+(O4=""))&gt;0,"Fill in the cream cells","OK"),IF(E4="No","Not owned",""))</f>
        <v/>
      </c>
      <c r="R4" s="13">
        <f>IF(AND(E4="Yes",F4&lt;&gt;"",F4&gt;=4,K4=5),"Yes","")</f>
        <v/>
      </c>
      <c r="S4" s="14" t="inlineStr">
        <is>
          <t>natalia</t>
        </is>
      </c>
    </row>
    <row r="5">
      <c r="A5" s="8" t="n">
        <v>1</v>
      </c>
      <c r="B5" s="9" t="inlineStr">
        <is>
          <t>Zinman</t>
        </is>
      </c>
      <c r="C5" s="10" t="inlineStr">
        <is>
          <t>Mythic</t>
        </is>
      </c>
      <c r="D5" s="8" t="inlineStr">
        <is>
          <t>Marksman</t>
        </is>
      </c>
      <c r="E5" s="11" t="n"/>
      <c r="F5" s="11" t="n"/>
      <c r="G5" s="11" t="n"/>
      <c r="H5" s="11" t="n"/>
      <c r="I5" s="11" t="n"/>
      <c r="J5" s="11" t="n"/>
      <c r="K5" s="11" t="n"/>
      <c r="L5" s="11" t="n"/>
      <c r="M5" s="11" t="n"/>
      <c r="N5" s="15" t="inlineStr">
        <is>
          <t>n/a</t>
        </is>
      </c>
      <c r="O5" s="11" t="n"/>
      <c r="P5" s="12" t="n"/>
      <c r="Q5" s="8">
        <f>IF(E5="Yes",IF(((F5="")+(G5="")+(H5="")+(I5="")+(J5="")+(K5="")+(L5="")+(M5="")+(O5=""))&gt;0,"Fill in the cream cells","OK"),IF(E5="No","Not owned",""))</f>
        <v/>
      </c>
      <c r="R5" s="13">
        <f>IF(AND(E5="Yes",F5&lt;&gt;"",F5&gt;=4,K5=5),"Yes","")</f>
        <v/>
      </c>
      <c r="S5" s="14" t="inlineStr">
        <is>
          <t>zinman</t>
        </is>
      </c>
    </row>
    <row r="6">
      <c r="A6" s="8" t="n">
        <v>1</v>
      </c>
      <c r="B6" s="9" t="inlineStr">
        <is>
          <t>Bahiti</t>
        </is>
      </c>
      <c r="C6" s="16" t="inlineStr">
        <is>
          <t>Epic</t>
        </is>
      </c>
      <c r="D6" s="8" t="inlineStr">
        <is>
          <t>Marksman</t>
        </is>
      </c>
      <c r="E6" s="11" t="n"/>
      <c r="F6" s="11" t="n"/>
      <c r="G6" s="11" t="n"/>
      <c r="H6" s="11" t="n"/>
      <c r="I6" s="11" t="n"/>
      <c r="J6" s="11" t="n"/>
      <c r="K6" s="11" t="n"/>
      <c r="L6" s="11" t="n"/>
      <c r="M6" s="15" t="inlineStr">
        <is>
          <t>n/a</t>
        </is>
      </c>
      <c r="N6" s="15" t="inlineStr">
        <is>
          <t>n/a</t>
        </is>
      </c>
      <c r="O6" s="15" t="inlineStr">
        <is>
          <t>n/a</t>
        </is>
      </c>
      <c r="P6" s="12" t="n"/>
      <c r="Q6" s="8">
        <f>IF(E6="Yes",IF(((F6="")+(G6="")+(H6="")+(I6="")+(J6="")+(K6="")+(L6=""))&gt;0,"Fill in the cream cells","OK"),IF(E6="No","Not owned",""))</f>
        <v/>
      </c>
      <c r="R6" s="13">
        <f>IF(AND(E6="Yes",F6&lt;&gt;"",F6&gt;=4,K6=5),"Yes","")</f>
        <v/>
      </c>
      <c r="S6" s="14" t="inlineStr">
        <is>
          <t>bahiti</t>
        </is>
      </c>
    </row>
    <row r="7">
      <c r="A7" s="8" t="n">
        <v>1</v>
      </c>
      <c r="B7" s="9" t="inlineStr">
        <is>
          <t>Gina</t>
        </is>
      </c>
      <c r="C7" s="16" t="inlineStr">
        <is>
          <t>Epic</t>
        </is>
      </c>
      <c r="D7" s="8" t="inlineStr">
        <is>
          <t>Marksman</t>
        </is>
      </c>
      <c r="E7" s="11" t="n"/>
      <c r="F7" s="11" t="n"/>
      <c r="G7" s="11" t="n"/>
      <c r="H7" s="11" t="n"/>
      <c r="I7" s="11" t="n"/>
      <c r="J7" s="11" t="n"/>
      <c r="K7" s="11" t="n"/>
      <c r="L7" s="11" t="n"/>
      <c r="M7" s="15" t="inlineStr">
        <is>
          <t>n/a</t>
        </is>
      </c>
      <c r="N7" s="15" t="inlineStr">
        <is>
          <t>n/a</t>
        </is>
      </c>
      <c r="O7" s="15" t="inlineStr">
        <is>
          <t>n/a</t>
        </is>
      </c>
      <c r="P7" s="12" t="n"/>
      <c r="Q7" s="8">
        <f>IF(E7="Yes",IF(((F7="")+(G7="")+(H7="")+(I7="")+(J7="")+(K7="")+(L7=""))&gt;0,"Fill in the cream cells","OK"),IF(E7="No","Not owned",""))</f>
        <v/>
      </c>
      <c r="R7" s="13">
        <f>IF(AND(E7="Yes",F7&lt;&gt;"",F7&gt;=4,K7=5),"Yes","")</f>
        <v/>
      </c>
      <c r="S7" s="14" t="inlineStr">
        <is>
          <t>gina</t>
        </is>
      </c>
    </row>
    <row r="8">
      <c r="A8" s="8" t="n">
        <v>1</v>
      </c>
      <c r="B8" s="9" t="inlineStr">
        <is>
          <t>Jasser</t>
        </is>
      </c>
      <c r="C8" s="16" t="inlineStr">
        <is>
          <t>Epic</t>
        </is>
      </c>
      <c r="D8" s="8" t="inlineStr">
        <is>
          <t>Marksman</t>
        </is>
      </c>
      <c r="E8" s="11" t="n"/>
      <c r="F8" s="11" t="n"/>
      <c r="G8" s="11" t="n"/>
      <c r="H8" s="11" t="n"/>
      <c r="I8" s="11" t="n"/>
      <c r="J8" s="11" t="n"/>
      <c r="K8" s="11" t="n"/>
      <c r="L8" s="11" t="n"/>
      <c r="M8" s="15" t="inlineStr">
        <is>
          <t>n/a</t>
        </is>
      </c>
      <c r="N8" s="15" t="inlineStr">
        <is>
          <t>n/a</t>
        </is>
      </c>
      <c r="O8" s="15" t="inlineStr">
        <is>
          <t>n/a</t>
        </is>
      </c>
      <c r="P8" s="12" t="n"/>
      <c r="Q8" s="8">
        <f>IF(E8="Yes",IF(((F8="")+(G8="")+(H8="")+(I8="")+(J8="")+(K8="")+(L8=""))&gt;0,"Fill in the cream cells","OK"),IF(E8="No","Not owned",""))</f>
        <v/>
      </c>
      <c r="R8" s="13">
        <f>IF(AND(E8="Yes",F8&lt;&gt;"",F8&gt;=4,K8=5),"Yes","")</f>
        <v/>
      </c>
      <c r="S8" s="14" t="inlineStr">
        <is>
          <t>jasser</t>
        </is>
      </c>
    </row>
    <row r="9">
      <c r="A9" s="8" t="n">
        <v>1</v>
      </c>
      <c r="B9" s="9" t="inlineStr">
        <is>
          <t>Jessie</t>
        </is>
      </c>
      <c r="C9" s="16" t="inlineStr">
        <is>
          <t>Epic</t>
        </is>
      </c>
      <c r="D9" s="8" t="inlineStr">
        <is>
          <t>Lancer</t>
        </is>
      </c>
      <c r="E9" s="11" t="n"/>
      <c r="F9" s="11" t="n"/>
      <c r="G9" s="11" t="n"/>
      <c r="H9" s="11" t="n"/>
      <c r="I9" s="11" t="n"/>
      <c r="J9" s="11" t="n"/>
      <c r="K9" s="11" t="n"/>
      <c r="L9" s="11" t="n"/>
      <c r="M9" s="15" t="inlineStr">
        <is>
          <t>n/a</t>
        </is>
      </c>
      <c r="N9" s="15" t="inlineStr">
        <is>
          <t>n/a</t>
        </is>
      </c>
      <c r="O9" s="15" t="inlineStr">
        <is>
          <t>n/a</t>
        </is>
      </c>
      <c r="P9" s="12" t="n"/>
      <c r="Q9" s="8">
        <f>IF(E9="Yes",IF(((F9="")+(G9="")+(H9="")+(I9="")+(J9="")+(K9="")+(L9=""))&gt;0,"Fill in the cream cells","OK"),IF(E9="No","Not owned",""))</f>
        <v/>
      </c>
      <c r="R9" s="13">
        <f>IF(AND(E9="Yes",F9&lt;&gt;"",F9&gt;=4,K9=5),"Yes","")</f>
        <v/>
      </c>
      <c r="S9" s="14" t="inlineStr">
        <is>
          <t>jessie</t>
        </is>
      </c>
    </row>
    <row r="10">
      <c r="A10" s="8" t="n">
        <v>1</v>
      </c>
      <c r="B10" s="9" t="inlineStr">
        <is>
          <t>Ling Xue</t>
        </is>
      </c>
      <c r="C10" s="16" t="inlineStr">
        <is>
          <t>Epic</t>
        </is>
      </c>
      <c r="D10" s="8" t="inlineStr">
        <is>
          <t>Lancer</t>
        </is>
      </c>
      <c r="E10" s="11" t="n"/>
      <c r="F10" s="11" t="n"/>
      <c r="G10" s="11" t="n"/>
      <c r="H10" s="11" t="n"/>
      <c r="I10" s="11" t="n"/>
      <c r="J10" s="11" t="n"/>
      <c r="K10" s="11" t="n"/>
      <c r="L10" s="11" t="n"/>
      <c r="M10" s="15" t="inlineStr">
        <is>
          <t>n/a</t>
        </is>
      </c>
      <c r="N10" s="15" t="inlineStr">
        <is>
          <t>n/a</t>
        </is>
      </c>
      <c r="O10" s="15" t="inlineStr">
        <is>
          <t>n/a</t>
        </is>
      </c>
      <c r="P10" s="12" t="n"/>
      <c r="Q10" s="8">
        <f>IF(E10="Yes",IF(((F10="")+(G10="")+(H10="")+(I10="")+(J10="")+(K10="")+(L10=""))&gt;0,"Fill in the cream cells","OK"),IF(E10="No","Not owned",""))</f>
        <v/>
      </c>
      <c r="R10" s="13">
        <f>IF(AND(E10="Yes",F10&lt;&gt;"",F10&gt;=4,K10=5),"Yes","")</f>
        <v/>
      </c>
      <c r="S10" s="14" t="inlineStr">
        <is>
          <t>ling-xue</t>
        </is>
      </c>
    </row>
    <row r="11">
      <c r="A11" s="8" t="n">
        <v>1</v>
      </c>
      <c r="B11" s="9" t="inlineStr">
        <is>
          <t>Lumak Bokan</t>
        </is>
      </c>
      <c r="C11" s="16" t="inlineStr">
        <is>
          <t>Epic</t>
        </is>
      </c>
      <c r="D11" s="8" t="inlineStr">
        <is>
          <t>Lancer</t>
        </is>
      </c>
      <c r="E11" s="11" t="n"/>
      <c r="F11" s="11" t="n"/>
      <c r="G11" s="11" t="n"/>
      <c r="H11" s="11" t="n"/>
      <c r="I11" s="11" t="n"/>
      <c r="J11" s="11" t="n"/>
      <c r="K11" s="11" t="n"/>
      <c r="L11" s="11" t="n"/>
      <c r="M11" s="15" t="inlineStr">
        <is>
          <t>n/a</t>
        </is>
      </c>
      <c r="N11" s="15" t="inlineStr">
        <is>
          <t>n/a</t>
        </is>
      </c>
      <c r="O11" s="15" t="inlineStr">
        <is>
          <t>n/a</t>
        </is>
      </c>
      <c r="P11" s="12" t="n"/>
      <c r="Q11" s="8">
        <f>IF(E11="Yes",IF(((F11="")+(G11="")+(H11="")+(I11="")+(J11="")+(K11="")+(L11=""))&gt;0,"Fill in the cream cells","OK"),IF(E11="No","Not owned",""))</f>
        <v/>
      </c>
      <c r="R11" s="13">
        <f>IF(AND(E11="Yes",F11&lt;&gt;"",F11&gt;=4,K11=5),"Yes","")</f>
        <v/>
      </c>
      <c r="S11" s="14" t="inlineStr">
        <is>
          <t>lumak-bokan</t>
        </is>
      </c>
    </row>
    <row r="12">
      <c r="A12" s="8" t="n">
        <v>1</v>
      </c>
      <c r="B12" s="9" t="inlineStr">
        <is>
          <t>Patrick</t>
        </is>
      </c>
      <c r="C12" s="16" t="inlineStr">
        <is>
          <t>Epic</t>
        </is>
      </c>
      <c r="D12" s="8" t="inlineStr">
        <is>
          <t>Lancer</t>
        </is>
      </c>
      <c r="E12" s="11" t="n"/>
      <c r="F12" s="11" t="n"/>
      <c r="G12" s="11" t="n"/>
      <c r="H12" s="11" t="n"/>
      <c r="I12" s="11" t="n"/>
      <c r="J12" s="11" t="n"/>
      <c r="K12" s="11" t="n"/>
      <c r="L12" s="11" t="n"/>
      <c r="M12" s="15" t="inlineStr">
        <is>
          <t>n/a</t>
        </is>
      </c>
      <c r="N12" s="15" t="inlineStr">
        <is>
          <t>n/a</t>
        </is>
      </c>
      <c r="O12" s="15" t="inlineStr">
        <is>
          <t>n/a</t>
        </is>
      </c>
      <c r="P12" s="12" t="n"/>
      <c r="Q12" s="8">
        <f>IF(E12="Yes",IF(((F12="")+(G12="")+(H12="")+(I12="")+(J12="")+(K12="")+(L12=""))&gt;0,"Fill in the cream cells","OK"),IF(E12="No","Not owned",""))</f>
        <v/>
      </c>
      <c r="R12" s="13">
        <f>IF(AND(E12="Yes",F12&lt;&gt;"",F12&gt;=4,K12=5),"Yes","")</f>
        <v/>
      </c>
      <c r="S12" s="14" t="inlineStr">
        <is>
          <t>patrick</t>
        </is>
      </c>
    </row>
    <row r="13">
      <c r="A13" s="8" t="n">
        <v>1</v>
      </c>
      <c r="B13" s="9" t="inlineStr">
        <is>
          <t>Seo-yoon</t>
        </is>
      </c>
      <c r="C13" s="16" t="inlineStr">
        <is>
          <t>Epic</t>
        </is>
      </c>
      <c r="D13" s="8" t="inlineStr">
        <is>
          <t>Marksman</t>
        </is>
      </c>
      <c r="E13" s="11" t="n"/>
      <c r="F13" s="11" t="n"/>
      <c r="G13" s="11" t="n"/>
      <c r="H13" s="11" t="n"/>
      <c r="I13" s="11" t="n"/>
      <c r="J13" s="11" t="n"/>
      <c r="K13" s="11" t="n"/>
      <c r="L13" s="11" t="n"/>
      <c r="M13" s="15" t="inlineStr">
        <is>
          <t>n/a</t>
        </is>
      </c>
      <c r="N13" s="15" t="inlineStr">
        <is>
          <t>n/a</t>
        </is>
      </c>
      <c r="O13" s="15" t="inlineStr">
        <is>
          <t>n/a</t>
        </is>
      </c>
      <c r="P13" s="12" t="n"/>
      <c r="Q13" s="8">
        <f>IF(E13="Yes",IF(((F13="")+(G13="")+(H13="")+(I13="")+(J13="")+(K13="")+(L13=""))&gt;0,"Fill in the cream cells","OK"),IF(E13="No","Not owned",""))</f>
        <v/>
      </c>
      <c r="R13" s="13">
        <f>IF(AND(E13="Yes",F13&lt;&gt;"",F13&gt;=4,K13=5),"Yes","")</f>
        <v/>
      </c>
      <c r="S13" s="14" t="inlineStr">
        <is>
          <t>seo-yoon</t>
        </is>
      </c>
    </row>
    <row r="14">
      <c r="A14" s="8" t="n">
        <v>1</v>
      </c>
      <c r="B14" s="9" t="inlineStr">
        <is>
          <t>Sergey</t>
        </is>
      </c>
      <c r="C14" s="16" t="inlineStr">
        <is>
          <t>Epic</t>
        </is>
      </c>
      <c r="D14" s="8" t="inlineStr">
        <is>
          <t>Infantry</t>
        </is>
      </c>
      <c r="E14" s="11" t="n"/>
      <c r="F14" s="11" t="n"/>
      <c r="G14" s="11" t="n"/>
      <c r="H14" s="11" t="n"/>
      <c r="I14" s="11" t="n"/>
      <c r="J14" s="11" t="n"/>
      <c r="K14" s="11" t="n"/>
      <c r="L14" s="11" t="n"/>
      <c r="M14" s="15" t="inlineStr">
        <is>
          <t>n/a</t>
        </is>
      </c>
      <c r="N14" s="15" t="inlineStr">
        <is>
          <t>n/a</t>
        </is>
      </c>
      <c r="O14" s="15" t="inlineStr">
        <is>
          <t>n/a</t>
        </is>
      </c>
      <c r="P14" s="12" t="n"/>
      <c r="Q14" s="8">
        <f>IF(E14="Yes",IF(((F14="")+(G14="")+(H14="")+(I14="")+(J14="")+(K14="")+(L14=""))&gt;0,"Fill in the cream cells","OK"),IF(E14="No","Not owned",""))</f>
        <v/>
      </c>
      <c r="R14" s="13">
        <f>IF(AND(E14="Yes",F14&lt;&gt;"",F14&gt;=4,K14=5),"Yes","")</f>
        <v/>
      </c>
      <c r="S14" s="14" t="inlineStr">
        <is>
          <t>sergey</t>
        </is>
      </c>
    </row>
    <row r="15">
      <c r="A15" s="8" t="n">
        <v>1</v>
      </c>
      <c r="B15" s="9" t="inlineStr">
        <is>
          <t>Charlie</t>
        </is>
      </c>
      <c r="C15" s="17" t="inlineStr">
        <is>
          <t>Rare</t>
        </is>
      </c>
      <c r="D15" s="8" t="inlineStr">
        <is>
          <t>Lancer</t>
        </is>
      </c>
      <c r="E15" s="11" t="n"/>
      <c r="F15" s="11" t="n"/>
      <c r="G15" s="11" t="n"/>
      <c r="H15" s="11" t="n"/>
      <c r="I15" s="11" t="n"/>
      <c r="J15" s="15" t="inlineStr">
        <is>
          <t>n/a</t>
        </is>
      </c>
      <c r="K15" s="11" t="n"/>
      <c r="L15" s="11" t="n"/>
      <c r="M15" s="15" t="inlineStr">
        <is>
          <t>n/a</t>
        </is>
      </c>
      <c r="N15" s="15" t="inlineStr">
        <is>
          <t>n/a</t>
        </is>
      </c>
      <c r="O15" s="15" t="inlineStr">
        <is>
          <t>n/a</t>
        </is>
      </c>
      <c r="P15" s="12" t="n"/>
      <c r="Q15" s="8">
        <f>IF(E15="Yes",IF(((F15="")+(G15="")+(H15="")+(I15="")+(K15="")+(L15=""))&gt;0,"Fill in the cream cells","OK"),IF(E15="No","Not owned",""))</f>
        <v/>
      </c>
      <c r="R15" s="13">
        <f>IF(AND(E15="Yes",F15&lt;&gt;"",F15&gt;=4,K15=5),"Yes","")</f>
        <v/>
      </c>
      <c r="S15" s="14" t="inlineStr">
        <is>
          <t>charlie</t>
        </is>
      </c>
    </row>
    <row r="16">
      <c r="A16" s="8" t="n">
        <v>1</v>
      </c>
      <c r="B16" s="9" t="inlineStr">
        <is>
          <t>Cloris</t>
        </is>
      </c>
      <c r="C16" s="17" t="inlineStr">
        <is>
          <t>Rare</t>
        </is>
      </c>
      <c r="D16" s="8" t="inlineStr">
        <is>
          <t>Marksman</t>
        </is>
      </c>
      <c r="E16" s="11" t="n"/>
      <c r="F16" s="11" t="n"/>
      <c r="G16" s="11" t="n"/>
      <c r="H16" s="11" t="n"/>
      <c r="I16" s="11" t="n"/>
      <c r="J16" s="15" t="inlineStr">
        <is>
          <t>n/a</t>
        </is>
      </c>
      <c r="K16" s="11" t="n"/>
      <c r="L16" s="11" t="n"/>
      <c r="M16" s="15" t="inlineStr">
        <is>
          <t>n/a</t>
        </is>
      </c>
      <c r="N16" s="15" t="inlineStr">
        <is>
          <t>n/a</t>
        </is>
      </c>
      <c r="O16" s="15" t="inlineStr">
        <is>
          <t>n/a</t>
        </is>
      </c>
      <c r="P16" s="12" t="n"/>
      <c r="Q16" s="8">
        <f>IF(E16="Yes",IF(((F16="")+(G16="")+(H16="")+(I16="")+(K16="")+(L16=""))&gt;0,"Fill in the cream cells","OK"),IF(E16="No","Not owned",""))</f>
        <v/>
      </c>
      <c r="R16" s="13">
        <f>IF(AND(E16="Yes",F16&lt;&gt;"",F16&gt;=4,K16=5),"Yes","")</f>
        <v/>
      </c>
      <c r="S16" s="14" t="inlineStr">
        <is>
          <t>cloris</t>
        </is>
      </c>
    </row>
    <row r="17">
      <c r="A17" s="8" t="n">
        <v>1</v>
      </c>
      <c r="B17" s="9" t="inlineStr">
        <is>
          <t>Eugene</t>
        </is>
      </c>
      <c r="C17" s="17" t="inlineStr">
        <is>
          <t>Rare</t>
        </is>
      </c>
      <c r="D17" s="8" t="inlineStr">
        <is>
          <t>Infantry</t>
        </is>
      </c>
      <c r="E17" s="11" t="n"/>
      <c r="F17" s="11" t="n"/>
      <c r="G17" s="11" t="n"/>
      <c r="H17" s="11" t="n"/>
      <c r="I17" s="11" t="n"/>
      <c r="J17" s="15" t="inlineStr">
        <is>
          <t>n/a</t>
        </is>
      </c>
      <c r="K17" s="11" t="n"/>
      <c r="L17" s="11" t="n"/>
      <c r="M17" s="15" t="inlineStr">
        <is>
          <t>n/a</t>
        </is>
      </c>
      <c r="N17" s="15" t="inlineStr">
        <is>
          <t>n/a</t>
        </is>
      </c>
      <c r="O17" s="15" t="inlineStr">
        <is>
          <t>n/a</t>
        </is>
      </c>
      <c r="P17" s="12" t="n"/>
      <c r="Q17" s="8">
        <f>IF(E17="Yes",IF(((F17="")+(G17="")+(H17="")+(I17="")+(K17="")+(L17=""))&gt;0,"Fill in the cream cells","OK"),IF(E17="No","Not owned",""))</f>
        <v/>
      </c>
      <c r="R17" s="13">
        <f>IF(AND(E17="Yes",F17&lt;&gt;"",F17&gt;=4,K17=5),"Yes","")</f>
        <v/>
      </c>
      <c r="S17" s="14" t="inlineStr">
        <is>
          <t>eugene</t>
        </is>
      </c>
    </row>
    <row r="18">
      <c r="A18" s="8" t="n">
        <v>1</v>
      </c>
      <c r="B18" s="9" t="inlineStr">
        <is>
          <t>Smith</t>
        </is>
      </c>
      <c r="C18" s="17" t="inlineStr">
        <is>
          <t>Rare</t>
        </is>
      </c>
      <c r="D18" s="8" t="inlineStr">
        <is>
          <t>Infantry</t>
        </is>
      </c>
      <c r="E18" s="11" t="n"/>
      <c r="F18" s="11" t="n"/>
      <c r="G18" s="11" t="n"/>
      <c r="H18" s="11" t="n"/>
      <c r="I18" s="11" t="n"/>
      <c r="J18" s="15" t="inlineStr">
        <is>
          <t>n/a</t>
        </is>
      </c>
      <c r="K18" s="11" t="n"/>
      <c r="L18" s="11" t="n"/>
      <c r="M18" s="15" t="inlineStr">
        <is>
          <t>n/a</t>
        </is>
      </c>
      <c r="N18" s="15" t="inlineStr">
        <is>
          <t>n/a</t>
        </is>
      </c>
      <c r="O18" s="15" t="inlineStr">
        <is>
          <t>n/a</t>
        </is>
      </c>
      <c r="P18" s="12" t="n"/>
      <c r="Q18" s="8">
        <f>IF(E18="Yes",IF(((F18="")+(G18="")+(H18="")+(I18="")+(K18="")+(L18=""))&gt;0,"Fill in the cream cells","OK"),IF(E18="No","Not owned",""))</f>
        <v/>
      </c>
      <c r="R18" s="13">
        <f>IF(AND(E18="Yes",F18&lt;&gt;"",F18&gt;=4,K18=5),"Yes","")</f>
        <v/>
      </c>
      <c r="S18" s="14" t="inlineStr">
        <is>
          <t>smith</t>
        </is>
      </c>
    </row>
    <row r="19">
      <c r="A19" s="18" t="n">
        <v>2</v>
      </c>
      <c r="B19" s="19" t="inlineStr">
        <is>
          <t>Alonso</t>
        </is>
      </c>
      <c r="C19" s="10" t="inlineStr">
        <is>
          <t>Mythic</t>
        </is>
      </c>
      <c r="D19" s="18" t="inlineStr">
        <is>
          <t>Marksman</t>
        </is>
      </c>
      <c r="E19" s="11" t="n"/>
      <c r="F19" s="11" t="n"/>
      <c r="G19" s="11" t="n"/>
      <c r="H19" s="11" t="n"/>
      <c r="I19" s="11" t="n"/>
      <c r="J19" s="11" t="n"/>
      <c r="K19" s="11" t="n"/>
      <c r="L19" s="11" t="n"/>
      <c r="M19" s="11" t="n"/>
      <c r="N19" s="15" t="inlineStr">
        <is>
          <t>n/a</t>
        </is>
      </c>
      <c r="O19" s="11" t="n"/>
      <c r="P19" s="12" t="n"/>
      <c r="Q19" s="8">
        <f>IF(E19="Yes",IF(((F19="")+(G19="")+(H19="")+(I19="")+(J19="")+(K19="")+(L19="")+(M19="")+(O19=""))&gt;0,"Fill in the cream cells","OK"),IF(E19="No","Not owned",""))</f>
        <v/>
      </c>
      <c r="R19" s="13">
        <f>IF(AND(E19="Yes",F19&lt;&gt;"",F19&gt;=4,K19=5),"Yes","")</f>
        <v/>
      </c>
      <c r="S19" s="14" t="inlineStr">
        <is>
          <t>alonso</t>
        </is>
      </c>
    </row>
    <row r="20">
      <c r="A20" s="18" t="n">
        <v>2</v>
      </c>
      <c r="B20" s="19" t="inlineStr">
        <is>
          <t>Flint</t>
        </is>
      </c>
      <c r="C20" s="10" t="inlineStr">
        <is>
          <t>Mythic</t>
        </is>
      </c>
      <c r="D20" s="18" t="inlineStr">
        <is>
          <t>Infantry</t>
        </is>
      </c>
      <c r="E20" s="11" t="n"/>
      <c r="F20" s="11" t="n"/>
      <c r="G20" s="11" t="n"/>
      <c r="H20" s="11" t="n"/>
      <c r="I20" s="11" t="n"/>
      <c r="J20" s="11" t="n"/>
      <c r="K20" s="11" t="n"/>
      <c r="L20" s="11" t="n"/>
      <c r="M20" s="11" t="n"/>
      <c r="N20" s="15" t="inlineStr">
        <is>
          <t>n/a</t>
        </is>
      </c>
      <c r="O20" s="11" t="n"/>
      <c r="P20" s="12" t="n"/>
      <c r="Q20" s="8">
        <f>IF(E20="Yes",IF(((F20="")+(G20="")+(H20="")+(I20="")+(J20="")+(K20="")+(L20="")+(M20="")+(O20=""))&gt;0,"Fill in the cream cells","OK"),IF(E20="No","Not owned",""))</f>
        <v/>
      </c>
      <c r="R20" s="13">
        <f>IF(AND(E20="Yes",F20&lt;&gt;"",F20&gt;=4,K20=5),"Yes","")</f>
        <v/>
      </c>
      <c r="S20" s="14" t="inlineStr">
        <is>
          <t>flint</t>
        </is>
      </c>
    </row>
    <row r="21">
      <c r="A21" s="18" t="n">
        <v>2</v>
      </c>
      <c r="B21" s="19" t="inlineStr">
        <is>
          <t>Philly</t>
        </is>
      </c>
      <c r="C21" s="10" t="inlineStr">
        <is>
          <t>Mythic</t>
        </is>
      </c>
      <c r="D21" s="18" t="inlineStr">
        <is>
          <t>Lancer</t>
        </is>
      </c>
      <c r="E21" s="11" t="n"/>
      <c r="F21" s="11" t="n"/>
      <c r="G21" s="11" t="n"/>
      <c r="H21" s="11" t="n"/>
      <c r="I21" s="11" t="n"/>
      <c r="J21" s="11" t="n"/>
      <c r="K21" s="11" t="n"/>
      <c r="L21" s="11" t="n"/>
      <c r="M21" s="11" t="n"/>
      <c r="N21" s="15" t="inlineStr">
        <is>
          <t>n/a</t>
        </is>
      </c>
      <c r="O21" s="11" t="n"/>
      <c r="P21" s="12" t="n"/>
      <c r="Q21" s="8">
        <f>IF(E21="Yes",IF(((F21="")+(G21="")+(H21="")+(I21="")+(J21="")+(K21="")+(L21="")+(M21="")+(O21=""))&gt;0,"Fill in the cream cells","OK"),IF(E21="No","Not owned",""))</f>
        <v/>
      </c>
      <c r="R21" s="13">
        <f>IF(AND(E21="Yes",F21&lt;&gt;"",F21&gt;=4,K21=5),"Yes","")</f>
        <v/>
      </c>
      <c r="S21" s="14" t="inlineStr">
        <is>
          <t>philly</t>
        </is>
      </c>
    </row>
    <row r="22">
      <c r="A22" s="8" t="n">
        <v>3</v>
      </c>
      <c r="B22" s="9" t="inlineStr">
        <is>
          <t>Greg</t>
        </is>
      </c>
      <c r="C22" s="10" t="inlineStr">
        <is>
          <t>Mythic</t>
        </is>
      </c>
      <c r="D22" s="8" t="inlineStr">
        <is>
          <t>Marksman</t>
        </is>
      </c>
      <c r="E22" s="11" t="n"/>
      <c r="F22" s="11" t="n"/>
      <c r="G22" s="11" t="n"/>
      <c r="H22" s="11" t="n"/>
      <c r="I22" s="11" t="n"/>
      <c r="J22" s="11" t="n"/>
      <c r="K22" s="11" t="n"/>
      <c r="L22" s="11" t="n"/>
      <c r="M22" s="11" t="n"/>
      <c r="N22" s="15" t="inlineStr">
        <is>
          <t>n/a</t>
        </is>
      </c>
      <c r="O22" s="11" t="n"/>
      <c r="P22" s="12" t="n"/>
      <c r="Q22" s="8">
        <f>IF(E22="Yes",IF(((F22="")+(G22="")+(H22="")+(I22="")+(J22="")+(K22="")+(L22="")+(M22="")+(O22=""))&gt;0,"Fill in the cream cells","OK"),IF(E22="No","Not owned",""))</f>
        <v/>
      </c>
      <c r="R22" s="13">
        <f>IF(AND(E22="Yes",F22&lt;&gt;"",F22&gt;=4,K22=5),"Yes","")</f>
        <v/>
      </c>
      <c r="S22" s="14" t="inlineStr">
        <is>
          <t>greg</t>
        </is>
      </c>
    </row>
    <row r="23">
      <c r="A23" s="8" t="n">
        <v>3</v>
      </c>
      <c r="B23" s="9" t="inlineStr">
        <is>
          <t>Logan</t>
        </is>
      </c>
      <c r="C23" s="10" t="inlineStr">
        <is>
          <t>Mythic</t>
        </is>
      </c>
      <c r="D23" s="8" t="inlineStr">
        <is>
          <t>Infantry</t>
        </is>
      </c>
      <c r="E23" s="11" t="n"/>
      <c r="F23" s="11" t="n"/>
      <c r="G23" s="11" t="n"/>
      <c r="H23" s="11" t="n"/>
      <c r="I23" s="11" t="n"/>
      <c r="J23" s="11" t="n"/>
      <c r="K23" s="11" t="n"/>
      <c r="L23" s="11" t="n"/>
      <c r="M23" s="11" t="n"/>
      <c r="N23" s="15" t="inlineStr">
        <is>
          <t>n/a</t>
        </is>
      </c>
      <c r="O23" s="11" t="n"/>
      <c r="P23" s="12" t="n"/>
      <c r="Q23" s="8">
        <f>IF(E23="Yes",IF(((F23="")+(G23="")+(H23="")+(I23="")+(J23="")+(K23="")+(L23="")+(M23="")+(O23=""))&gt;0,"Fill in the cream cells","OK"),IF(E23="No","Not owned",""))</f>
        <v/>
      </c>
      <c r="R23" s="13">
        <f>IF(AND(E23="Yes",F23&lt;&gt;"",F23&gt;=4,K23=5),"Yes","")</f>
        <v/>
      </c>
      <c r="S23" s="14" t="inlineStr">
        <is>
          <t>logan</t>
        </is>
      </c>
    </row>
    <row r="24">
      <c r="A24" s="8" t="n">
        <v>3</v>
      </c>
      <c r="B24" s="9" t="inlineStr">
        <is>
          <t>Mia</t>
        </is>
      </c>
      <c r="C24" s="10" t="inlineStr">
        <is>
          <t>Mythic</t>
        </is>
      </c>
      <c r="D24" s="8" t="inlineStr">
        <is>
          <t>Lancer</t>
        </is>
      </c>
      <c r="E24" s="11" t="n"/>
      <c r="F24" s="11" t="n"/>
      <c r="G24" s="11" t="n"/>
      <c r="H24" s="11" t="n"/>
      <c r="I24" s="11" t="n"/>
      <c r="J24" s="11" t="n"/>
      <c r="K24" s="11" t="n"/>
      <c r="L24" s="11" t="n"/>
      <c r="M24" s="11" t="n"/>
      <c r="N24" s="15" t="inlineStr">
        <is>
          <t>n/a</t>
        </is>
      </c>
      <c r="O24" s="11" t="n"/>
      <c r="P24" s="12" t="n"/>
      <c r="Q24" s="8">
        <f>IF(E24="Yes",IF(((F24="")+(G24="")+(H24="")+(I24="")+(J24="")+(K24="")+(L24="")+(M24="")+(O24=""))&gt;0,"Fill in the cream cells","OK"),IF(E24="No","Not owned",""))</f>
        <v/>
      </c>
      <c r="R24" s="13">
        <f>IF(AND(E24="Yes",F24&lt;&gt;"",F24&gt;=4,K24=5),"Yes","")</f>
        <v/>
      </c>
      <c r="S24" s="14" t="inlineStr">
        <is>
          <t>mia</t>
        </is>
      </c>
    </row>
    <row r="25">
      <c r="A25" s="18" t="n">
        <v>4</v>
      </c>
      <c r="B25" s="19" t="inlineStr">
        <is>
          <t>Ahmose</t>
        </is>
      </c>
      <c r="C25" s="10" t="inlineStr">
        <is>
          <t>Mythic</t>
        </is>
      </c>
      <c r="D25" s="18" t="inlineStr">
        <is>
          <t>Infantry</t>
        </is>
      </c>
      <c r="E25" s="11" t="n"/>
      <c r="F25" s="11" t="n"/>
      <c r="G25" s="11" t="n"/>
      <c r="H25" s="11" t="n"/>
      <c r="I25" s="11" t="n"/>
      <c r="J25" s="11" t="n"/>
      <c r="K25" s="11" t="n"/>
      <c r="L25" s="11" t="n"/>
      <c r="M25" s="11" t="n"/>
      <c r="N25" s="15" t="inlineStr">
        <is>
          <t>n/a</t>
        </is>
      </c>
      <c r="O25" s="11" t="n"/>
      <c r="P25" s="12" t="n"/>
      <c r="Q25" s="8">
        <f>IF(E25="Yes",IF(((F25="")+(G25="")+(H25="")+(I25="")+(J25="")+(K25="")+(L25="")+(M25="")+(O25=""))&gt;0,"Fill in the cream cells","OK"),IF(E25="No","Not owned",""))</f>
        <v/>
      </c>
      <c r="R25" s="13">
        <f>IF(AND(E25="Yes",F25&lt;&gt;"",F25&gt;=4,K25=5),"Yes","")</f>
        <v/>
      </c>
      <c r="S25" s="14" t="inlineStr">
        <is>
          <t>ahmose</t>
        </is>
      </c>
    </row>
    <row r="26">
      <c r="A26" s="18" t="n">
        <v>4</v>
      </c>
      <c r="B26" s="19" t="inlineStr">
        <is>
          <t>Lynn</t>
        </is>
      </c>
      <c r="C26" s="10" t="inlineStr">
        <is>
          <t>Mythic</t>
        </is>
      </c>
      <c r="D26" s="18" t="inlineStr">
        <is>
          <t>Marksman</t>
        </is>
      </c>
      <c r="E26" s="11" t="n"/>
      <c r="F26" s="11" t="n"/>
      <c r="G26" s="11" t="n"/>
      <c r="H26" s="11" t="n"/>
      <c r="I26" s="11" t="n"/>
      <c r="J26" s="11" t="n"/>
      <c r="K26" s="11" t="n"/>
      <c r="L26" s="11" t="n"/>
      <c r="M26" s="11" t="n"/>
      <c r="N26" s="15" t="inlineStr">
        <is>
          <t>n/a</t>
        </is>
      </c>
      <c r="O26" s="11" t="n"/>
      <c r="P26" s="12" t="n"/>
      <c r="Q26" s="8">
        <f>IF(E26="Yes",IF(((F26="")+(G26="")+(H26="")+(I26="")+(J26="")+(K26="")+(L26="")+(M26="")+(O26=""))&gt;0,"Fill in the cream cells","OK"),IF(E26="No","Not owned",""))</f>
        <v/>
      </c>
      <c r="R26" s="13">
        <f>IF(AND(E26="Yes",F26&lt;&gt;"",F26&gt;=4,K26=5),"Yes","")</f>
        <v/>
      </c>
      <c r="S26" s="14" t="inlineStr">
        <is>
          <t>lynn</t>
        </is>
      </c>
    </row>
    <row r="27">
      <c r="A27" s="18" t="n">
        <v>4</v>
      </c>
      <c r="B27" s="19" t="inlineStr">
        <is>
          <t>Reina</t>
        </is>
      </c>
      <c r="C27" s="10" t="inlineStr">
        <is>
          <t>Mythic</t>
        </is>
      </c>
      <c r="D27" s="18" t="inlineStr">
        <is>
          <t>Lancer</t>
        </is>
      </c>
      <c r="E27" s="11" t="n"/>
      <c r="F27" s="11" t="n"/>
      <c r="G27" s="11" t="n"/>
      <c r="H27" s="11" t="n"/>
      <c r="I27" s="11" t="n"/>
      <c r="J27" s="11" t="n"/>
      <c r="K27" s="11" t="n"/>
      <c r="L27" s="11" t="n"/>
      <c r="M27" s="11" t="n"/>
      <c r="N27" s="15" t="inlineStr">
        <is>
          <t>n/a</t>
        </is>
      </c>
      <c r="O27" s="11" t="n"/>
      <c r="P27" s="12" t="n"/>
      <c r="Q27" s="8">
        <f>IF(E27="Yes",IF(((F27="")+(G27="")+(H27="")+(I27="")+(J27="")+(K27="")+(L27="")+(M27="")+(O27=""))&gt;0,"Fill in the cream cells","OK"),IF(E27="No","Not owned",""))</f>
        <v/>
      </c>
      <c r="R27" s="13">
        <f>IF(AND(E27="Yes",F27&lt;&gt;"",F27&gt;=4,K27=5),"Yes","")</f>
        <v/>
      </c>
      <c r="S27" s="14" t="inlineStr">
        <is>
          <t>reina</t>
        </is>
      </c>
    </row>
    <row r="28">
      <c r="A28" s="8" t="n">
        <v>5</v>
      </c>
      <c r="B28" s="9" t="inlineStr">
        <is>
          <t>Gwen</t>
        </is>
      </c>
      <c r="C28" s="10" t="inlineStr">
        <is>
          <t>Mythic</t>
        </is>
      </c>
      <c r="D28" s="8" t="inlineStr">
        <is>
          <t>Marksman</t>
        </is>
      </c>
      <c r="E28" s="11" t="n"/>
      <c r="F28" s="11" t="n"/>
      <c r="G28" s="11" t="n"/>
      <c r="H28" s="11" t="n"/>
      <c r="I28" s="11" t="n"/>
      <c r="J28" s="11" t="n"/>
      <c r="K28" s="11" t="n"/>
      <c r="L28" s="11" t="n"/>
      <c r="M28" s="11" t="n"/>
      <c r="N28" s="15" t="inlineStr">
        <is>
          <t>n/a</t>
        </is>
      </c>
      <c r="O28" s="11" t="n"/>
      <c r="P28" s="12" t="n"/>
      <c r="Q28" s="8">
        <f>IF(E28="Yes",IF(((F28="")+(G28="")+(H28="")+(I28="")+(J28="")+(K28="")+(L28="")+(M28="")+(O28=""))&gt;0,"Fill in the cream cells","OK"),IF(E28="No","Not owned",""))</f>
        <v/>
      </c>
      <c r="R28" s="13">
        <f>IF(AND(E28="Yes",F28&lt;&gt;"",F28&gt;=4,K28=5),"Yes","")</f>
        <v/>
      </c>
      <c r="S28" s="14" t="inlineStr">
        <is>
          <t>gwen</t>
        </is>
      </c>
    </row>
    <row r="29">
      <c r="A29" s="8" t="n">
        <v>5</v>
      </c>
      <c r="B29" s="9" t="inlineStr">
        <is>
          <t>Hector</t>
        </is>
      </c>
      <c r="C29" s="10" t="inlineStr">
        <is>
          <t>Mythic</t>
        </is>
      </c>
      <c r="D29" s="8" t="inlineStr">
        <is>
          <t>Infantry</t>
        </is>
      </c>
      <c r="E29" s="11" t="n"/>
      <c r="F29" s="11" t="n"/>
      <c r="G29" s="11" t="n"/>
      <c r="H29" s="11" t="n"/>
      <c r="I29" s="11" t="n"/>
      <c r="J29" s="11" t="n"/>
      <c r="K29" s="11" t="n"/>
      <c r="L29" s="11" t="n"/>
      <c r="M29" s="11" t="n"/>
      <c r="N29" s="15" t="inlineStr">
        <is>
          <t>n/a</t>
        </is>
      </c>
      <c r="O29" s="11" t="n"/>
      <c r="P29" s="12" t="n"/>
      <c r="Q29" s="8">
        <f>IF(E29="Yes",IF(((F29="")+(G29="")+(H29="")+(I29="")+(J29="")+(K29="")+(L29="")+(M29="")+(O29=""))&gt;0,"Fill in the cream cells","OK"),IF(E29="No","Not owned",""))</f>
        <v/>
      </c>
      <c r="R29" s="13">
        <f>IF(AND(E29="Yes",F29&lt;&gt;"",F29&gt;=4,K29=5),"Yes","")</f>
        <v/>
      </c>
      <c r="S29" s="14" t="inlineStr">
        <is>
          <t>hector</t>
        </is>
      </c>
    </row>
    <row r="30">
      <c r="A30" s="8" t="n">
        <v>5</v>
      </c>
      <c r="B30" s="9" t="inlineStr">
        <is>
          <t>Norah</t>
        </is>
      </c>
      <c r="C30" s="10" t="inlineStr">
        <is>
          <t>Mythic</t>
        </is>
      </c>
      <c r="D30" s="8" t="inlineStr">
        <is>
          <t>Lancer</t>
        </is>
      </c>
      <c r="E30" s="11" t="n"/>
      <c r="F30" s="11" t="n"/>
      <c r="G30" s="11" t="n"/>
      <c r="H30" s="11" t="n"/>
      <c r="I30" s="11" t="n"/>
      <c r="J30" s="11" t="n"/>
      <c r="K30" s="11" t="n"/>
      <c r="L30" s="11" t="n"/>
      <c r="M30" s="11" t="n"/>
      <c r="N30" s="15" t="inlineStr">
        <is>
          <t>n/a</t>
        </is>
      </c>
      <c r="O30" s="11" t="n"/>
      <c r="P30" s="12" t="n"/>
      <c r="Q30" s="8">
        <f>IF(E30="Yes",IF(((F30="")+(G30="")+(H30="")+(I30="")+(J30="")+(K30="")+(L30="")+(M30="")+(O30=""))&gt;0,"Fill in the cream cells","OK"),IF(E30="No","Not owned",""))</f>
        <v/>
      </c>
      <c r="R30" s="13">
        <f>IF(AND(E30="Yes",F30&lt;&gt;"",F30&gt;=4,K30=5),"Yes","")</f>
        <v/>
      </c>
      <c r="S30" s="14" t="inlineStr">
        <is>
          <t>norah</t>
        </is>
      </c>
    </row>
    <row r="31">
      <c r="A31" s="18" t="n">
        <v>6</v>
      </c>
      <c r="B31" s="19" t="inlineStr">
        <is>
          <t>Renee</t>
        </is>
      </c>
      <c r="C31" s="10" t="inlineStr">
        <is>
          <t>Mythic</t>
        </is>
      </c>
      <c r="D31" s="18" t="inlineStr">
        <is>
          <t>Lancer</t>
        </is>
      </c>
      <c r="E31" s="11" t="n"/>
      <c r="F31" s="11" t="n"/>
      <c r="G31" s="11" t="n"/>
      <c r="H31" s="11" t="n"/>
      <c r="I31" s="11" t="n"/>
      <c r="J31" s="11" t="n"/>
      <c r="K31" s="11" t="n"/>
      <c r="L31" s="11" t="n"/>
      <c r="M31" s="11" t="n"/>
      <c r="N31" s="15" t="inlineStr">
        <is>
          <t>n/a</t>
        </is>
      </c>
      <c r="O31" s="11" t="n"/>
      <c r="P31" s="12" t="n"/>
      <c r="Q31" s="8">
        <f>IF(E31="Yes",IF(((F31="")+(G31="")+(H31="")+(I31="")+(J31="")+(K31="")+(L31="")+(M31="")+(O31=""))&gt;0,"Fill in the cream cells","OK"),IF(E31="No","Not owned",""))</f>
        <v/>
      </c>
      <c r="R31" s="13">
        <f>IF(AND(E31="Yes",F31&lt;&gt;"",F31&gt;=4,K31=5),"Yes","")</f>
        <v/>
      </c>
      <c r="S31" s="14" t="inlineStr">
        <is>
          <t>renee</t>
        </is>
      </c>
    </row>
    <row r="32">
      <c r="A32" s="18" t="n">
        <v>6</v>
      </c>
      <c r="B32" s="19" t="inlineStr">
        <is>
          <t>Wayne</t>
        </is>
      </c>
      <c r="C32" s="10" t="inlineStr">
        <is>
          <t>Mythic</t>
        </is>
      </c>
      <c r="D32" s="18" t="inlineStr">
        <is>
          <t>Marksman</t>
        </is>
      </c>
      <c r="E32" s="11" t="n"/>
      <c r="F32" s="11" t="n"/>
      <c r="G32" s="11" t="n"/>
      <c r="H32" s="11" t="n"/>
      <c r="I32" s="11" t="n"/>
      <c r="J32" s="11" t="n"/>
      <c r="K32" s="11" t="n"/>
      <c r="L32" s="11" t="n"/>
      <c r="M32" s="11" t="n"/>
      <c r="N32" s="15" t="inlineStr">
        <is>
          <t>n/a</t>
        </is>
      </c>
      <c r="O32" s="11" t="n"/>
      <c r="P32" s="12" t="n"/>
      <c r="Q32" s="8">
        <f>IF(E32="Yes",IF(((F32="")+(G32="")+(H32="")+(I32="")+(J32="")+(K32="")+(L32="")+(M32="")+(O32=""))&gt;0,"Fill in the cream cells","OK"),IF(E32="No","Not owned",""))</f>
        <v/>
      </c>
      <c r="R32" s="13">
        <f>IF(AND(E32="Yes",F32&lt;&gt;"",F32&gt;=4,K32=5),"Yes","")</f>
        <v/>
      </c>
      <c r="S32" s="14" t="inlineStr">
        <is>
          <t>wayne</t>
        </is>
      </c>
    </row>
    <row r="33">
      <c r="A33" s="18" t="n">
        <v>6</v>
      </c>
      <c r="B33" s="19" t="inlineStr">
        <is>
          <t>Wu Ming</t>
        </is>
      </c>
      <c r="C33" s="10" t="inlineStr">
        <is>
          <t>Mythic</t>
        </is>
      </c>
      <c r="D33" s="18" t="inlineStr">
        <is>
          <t>Infantry</t>
        </is>
      </c>
      <c r="E33" s="11" t="n"/>
      <c r="F33" s="11" t="n"/>
      <c r="G33" s="11" t="n"/>
      <c r="H33" s="11" t="n"/>
      <c r="I33" s="11" t="n"/>
      <c r="J33" s="11" t="n"/>
      <c r="K33" s="11" t="n"/>
      <c r="L33" s="11" t="n"/>
      <c r="M33" s="11" t="n"/>
      <c r="N33" s="15" t="inlineStr">
        <is>
          <t>n/a</t>
        </is>
      </c>
      <c r="O33" s="11" t="n"/>
      <c r="P33" s="12" t="n"/>
      <c r="Q33" s="8">
        <f>IF(E33="Yes",IF(((F33="")+(G33="")+(H33="")+(I33="")+(J33="")+(K33="")+(L33="")+(M33="")+(O33=""))&gt;0,"Fill in the cream cells","OK"),IF(E33="No","Not owned",""))</f>
        <v/>
      </c>
      <c r="R33" s="13">
        <f>IF(AND(E33="Yes",F33&lt;&gt;"",F33&gt;=4,K33=5),"Yes","")</f>
        <v/>
      </c>
      <c r="S33" s="14" t="inlineStr">
        <is>
          <t>wu-ming</t>
        </is>
      </c>
    </row>
    <row r="34">
      <c r="A34" s="8" t="n">
        <v>7</v>
      </c>
      <c r="B34" s="9" t="inlineStr">
        <is>
          <t>Bradley</t>
        </is>
      </c>
      <c r="C34" s="10" t="inlineStr">
        <is>
          <t>Mythic</t>
        </is>
      </c>
      <c r="D34" s="8" t="inlineStr">
        <is>
          <t>Marksman</t>
        </is>
      </c>
      <c r="E34" s="11" t="n"/>
      <c r="F34" s="11" t="n"/>
      <c r="G34" s="11" t="n"/>
      <c r="H34" s="11" t="n"/>
      <c r="I34" s="11" t="n"/>
      <c r="J34" s="11" t="n"/>
      <c r="K34" s="11" t="n"/>
      <c r="L34" s="11" t="n"/>
      <c r="M34" s="11" t="n"/>
      <c r="N34" s="15" t="inlineStr">
        <is>
          <t>n/a</t>
        </is>
      </c>
      <c r="O34" s="11" t="n"/>
      <c r="P34" s="12" t="n"/>
      <c r="Q34" s="8">
        <f>IF(E34="Yes",IF(((F34="")+(G34="")+(H34="")+(I34="")+(J34="")+(K34="")+(L34="")+(M34="")+(O34=""))&gt;0,"Fill in the cream cells","OK"),IF(E34="No","Not owned",""))</f>
        <v/>
      </c>
      <c r="R34" s="13">
        <f>IF(AND(E34="Yes",F34&lt;&gt;"",F34&gt;=4,K34=5),"Yes","")</f>
        <v/>
      </c>
      <c r="S34" s="14" t="inlineStr">
        <is>
          <t>bradley</t>
        </is>
      </c>
    </row>
    <row r="35">
      <c r="A35" s="8" t="n">
        <v>7</v>
      </c>
      <c r="B35" s="9" t="inlineStr">
        <is>
          <t>Edith</t>
        </is>
      </c>
      <c r="C35" s="10" t="inlineStr">
        <is>
          <t>Mythic</t>
        </is>
      </c>
      <c r="D35" s="8" t="inlineStr">
        <is>
          <t>Infantry</t>
        </is>
      </c>
      <c r="E35" s="11" t="n"/>
      <c r="F35" s="11" t="n"/>
      <c r="G35" s="11" t="n"/>
      <c r="H35" s="11" t="n"/>
      <c r="I35" s="11" t="n"/>
      <c r="J35" s="11" t="n"/>
      <c r="K35" s="11" t="n"/>
      <c r="L35" s="11" t="n"/>
      <c r="M35" s="11" t="n"/>
      <c r="N35" s="15" t="inlineStr">
        <is>
          <t>n/a</t>
        </is>
      </c>
      <c r="O35" s="11" t="n"/>
      <c r="P35" s="12" t="n"/>
      <c r="Q35" s="8">
        <f>IF(E35="Yes",IF(((F35="")+(G35="")+(H35="")+(I35="")+(J35="")+(K35="")+(L35="")+(M35="")+(O35=""))&gt;0,"Fill in the cream cells","OK"),IF(E35="No","Not owned",""))</f>
        <v/>
      </c>
      <c r="R35" s="13">
        <f>IF(AND(E35="Yes",F35&lt;&gt;"",F35&gt;=4,K35=5),"Yes","")</f>
        <v/>
      </c>
      <c r="S35" s="14" t="inlineStr">
        <is>
          <t>edith</t>
        </is>
      </c>
    </row>
    <row r="36">
      <c r="A36" s="8" t="n">
        <v>7</v>
      </c>
      <c r="B36" s="9" t="inlineStr">
        <is>
          <t>Gordon</t>
        </is>
      </c>
      <c r="C36" s="10" t="inlineStr">
        <is>
          <t>Mythic</t>
        </is>
      </c>
      <c r="D36" s="8" t="inlineStr">
        <is>
          <t>Lancer</t>
        </is>
      </c>
      <c r="E36" s="11" t="n"/>
      <c r="F36" s="11" t="n"/>
      <c r="G36" s="11" t="n"/>
      <c r="H36" s="11" t="n"/>
      <c r="I36" s="11" t="n"/>
      <c r="J36" s="11" t="n"/>
      <c r="K36" s="11" t="n"/>
      <c r="L36" s="11" t="n"/>
      <c r="M36" s="11" t="n"/>
      <c r="N36" s="15" t="inlineStr">
        <is>
          <t>n/a</t>
        </is>
      </c>
      <c r="O36" s="11" t="n"/>
      <c r="P36" s="12" t="n"/>
      <c r="Q36" s="8">
        <f>IF(E36="Yes",IF(((F36="")+(G36="")+(H36="")+(I36="")+(J36="")+(K36="")+(L36="")+(M36="")+(O36=""))&gt;0,"Fill in the cream cells","OK"),IF(E36="No","Not owned",""))</f>
        <v/>
      </c>
      <c r="R36" s="13">
        <f>IF(AND(E36="Yes",F36&lt;&gt;"",F36&gt;=4,K36=5),"Yes","")</f>
        <v/>
      </c>
      <c r="S36" s="14" t="inlineStr">
        <is>
          <t>gordon</t>
        </is>
      </c>
    </row>
    <row r="37">
      <c r="A37" s="18" t="n">
        <v>8</v>
      </c>
      <c r="B37" s="19" t="inlineStr">
        <is>
          <t>Gatot</t>
        </is>
      </c>
      <c r="C37" s="10" t="inlineStr">
        <is>
          <t>Mythic</t>
        </is>
      </c>
      <c r="D37" s="18" t="inlineStr">
        <is>
          <t>Infantry</t>
        </is>
      </c>
      <c r="E37" s="11" t="n"/>
      <c r="F37" s="11" t="n"/>
      <c r="G37" s="11" t="n"/>
      <c r="H37" s="11" t="n"/>
      <c r="I37" s="11" t="n"/>
      <c r="J37" s="11" t="n"/>
      <c r="K37" s="11" t="n"/>
      <c r="L37" s="11" t="n"/>
      <c r="M37" s="11" t="n"/>
      <c r="N37" s="15" t="inlineStr">
        <is>
          <t>n/a</t>
        </is>
      </c>
      <c r="O37" s="11" t="n"/>
      <c r="P37" s="12" t="n"/>
      <c r="Q37" s="8">
        <f>IF(E37="Yes",IF(((F37="")+(G37="")+(H37="")+(I37="")+(J37="")+(K37="")+(L37="")+(M37="")+(O37=""))&gt;0,"Fill in the cream cells","OK"),IF(E37="No","Not owned",""))</f>
        <v/>
      </c>
      <c r="R37" s="13">
        <f>IF(AND(E37="Yes",F37&lt;&gt;"",F37&gt;=4,K37=5),"Yes","")</f>
        <v/>
      </c>
      <c r="S37" s="14" t="inlineStr">
        <is>
          <t>gatot</t>
        </is>
      </c>
    </row>
    <row r="38">
      <c r="A38" s="18" t="n">
        <v>8</v>
      </c>
      <c r="B38" s="19" t="inlineStr">
        <is>
          <t>Hendrik</t>
        </is>
      </c>
      <c r="C38" s="10" t="inlineStr">
        <is>
          <t>Mythic</t>
        </is>
      </c>
      <c r="D38" s="18" t="inlineStr">
        <is>
          <t>Marksman</t>
        </is>
      </c>
      <c r="E38" s="11" t="n"/>
      <c r="F38" s="11" t="n"/>
      <c r="G38" s="11" t="n"/>
      <c r="H38" s="11" t="n"/>
      <c r="I38" s="11" t="n"/>
      <c r="J38" s="11" t="n"/>
      <c r="K38" s="11" t="n"/>
      <c r="L38" s="11" t="n"/>
      <c r="M38" s="11" t="n"/>
      <c r="N38" s="15" t="inlineStr">
        <is>
          <t>n/a</t>
        </is>
      </c>
      <c r="O38" s="11" t="n"/>
      <c r="P38" s="12" t="n"/>
      <c r="Q38" s="8">
        <f>IF(E38="Yes",IF(((F38="")+(G38="")+(H38="")+(I38="")+(J38="")+(K38="")+(L38="")+(M38="")+(O38=""))&gt;0,"Fill in the cream cells","OK"),IF(E38="No","Not owned",""))</f>
        <v/>
      </c>
      <c r="R38" s="13">
        <f>IF(AND(E38="Yes",F38&lt;&gt;"",F38&gt;=4,K38=5),"Yes","")</f>
        <v/>
      </c>
      <c r="S38" s="14" t="inlineStr">
        <is>
          <t>hendrik</t>
        </is>
      </c>
    </row>
    <row r="39">
      <c r="A39" s="18" t="n">
        <v>8</v>
      </c>
      <c r="B39" s="19" t="inlineStr">
        <is>
          <t>Sonya</t>
        </is>
      </c>
      <c r="C39" s="10" t="inlineStr">
        <is>
          <t>Mythic</t>
        </is>
      </c>
      <c r="D39" s="18" t="inlineStr">
        <is>
          <t>Lancer</t>
        </is>
      </c>
      <c r="E39" s="11" t="n"/>
      <c r="F39" s="11" t="n"/>
      <c r="G39" s="11" t="n"/>
      <c r="H39" s="11" t="n"/>
      <c r="I39" s="11" t="n"/>
      <c r="J39" s="11" t="n"/>
      <c r="K39" s="11" t="n"/>
      <c r="L39" s="11" t="n"/>
      <c r="M39" s="11" t="n"/>
      <c r="N39" s="15" t="inlineStr">
        <is>
          <t>n/a</t>
        </is>
      </c>
      <c r="O39" s="11" t="n"/>
      <c r="P39" s="12" t="n"/>
      <c r="Q39" s="8">
        <f>IF(E39="Yes",IF(((F39="")+(G39="")+(H39="")+(I39="")+(J39="")+(K39="")+(L39="")+(M39="")+(O39=""))&gt;0,"Fill in the cream cells","OK"),IF(E39="No","Not owned",""))</f>
        <v/>
      </c>
      <c r="R39" s="13">
        <f>IF(AND(E39="Yes",F39&lt;&gt;"",F39&gt;=4,K39=5),"Yes","")</f>
        <v/>
      </c>
      <c r="S39" s="14" t="inlineStr">
        <is>
          <t>sonya</t>
        </is>
      </c>
    </row>
    <row r="40">
      <c r="A40" s="8" t="n">
        <v>9</v>
      </c>
      <c r="B40" s="9" t="inlineStr">
        <is>
          <t>Fred</t>
        </is>
      </c>
      <c r="C40" s="10" t="inlineStr">
        <is>
          <t>Mythic</t>
        </is>
      </c>
      <c r="D40" s="8" t="inlineStr">
        <is>
          <t>Lancer</t>
        </is>
      </c>
      <c r="E40" s="11" t="n"/>
      <c r="F40" s="11" t="n"/>
      <c r="G40" s="11" t="n"/>
      <c r="H40" s="11" t="n"/>
      <c r="I40" s="11" t="n"/>
      <c r="J40" s="11" t="n"/>
      <c r="K40" s="11" t="n"/>
      <c r="L40" s="11" t="n"/>
      <c r="M40" s="11" t="n"/>
      <c r="N40" s="15" t="inlineStr">
        <is>
          <t>n/a</t>
        </is>
      </c>
      <c r="O40" s="11" t="n"/>
      <c r="P40" s="12" t="n"/>
      <c r="Q40" s="8">
        <f>IF(E40="Yes",IF(((F40="")+(G40="")+(H40="")+(I40="")+(J40="")+(K40="")+(L40="")+(M40="")+(O40=""))&gt;0,"Fill in the cream cells","OK"),IF(E40="No","Not owned",""))</f>
        <v/>
      </c>
      <c r="R40" s="13">
        <f>IF(AND(E40="Yes",F40&lt;&gt;"",F40&gt;=4,K40=5),"Yes","")</f>
        <v/>
      </c>
      <c r="S40" s="14" t="inlineStr">
        <is>
          <t>fred</t>
        </is>
      </c>
    </row>
    <row r="41">
      <c r="A41" s="8" t="n">
        <v>9</v>
      </c>
      <c r="B41" s="9" t="inlineStr">
        <is>
          <t>Magnus</t>
        </is>
      </c>
      <c r="C41" s="10" t="inlineStr">
        <is>
          <t>Mythic</t>
        </is>
      </c>
      <c r="D41" s="8" t="inlineStr">
        <is>
          <t>Infantry</t>
        </is>
      </c>
      <c r="E41" s="11" t="n"/>
      <c r="F41" s="11" t="n"/>
      <c r="G41" s="11" t="n"/>
      <c r="H41" s="11" t="n"/>
      <c r="I41" s="11" t="n"/>
      <c r="J41" s="11" t="n"/>
      <c r="K41" s="11" t="n"/>
      <c r="L41" s="11" t="n"/>
      <c r="M41" s="11" t="n"/>
      <c r="N41" s="15" t="inlineStr">
        <is>
          <t>n/a</t>
        </is>
      </c>
      <c r="O41" s="11" t="n"/>
      <c r="P41" s="12" t="n"/>
      <c r="Q41" s="8">
        <f>IF(E41="Yes",IF(((F41="")+(G41="")+(H41="")+(I41="")+(J41="")+(K41="")+(L41="")+(M41="")+(O41=""))&gt;0,"Fill in the cream cells","OK"),IF(E41="No","Not owned",""))</f>
        <v/>
      </c>
      <c r="R41" s="13">
        <f>IF(AND(E41="Yes",F41&lt;&gt;"",F41&gt;=4,K41=5),"Yes","")</f>
        <v/>
      </c>
      <c r="S41" s="14" t="inlineStr">
        <is>
          <t>magnus</t>
        </is>
      </c>
    </row>
    <row r="42">
      <c r="A42" s="8" t="n">
        <v>9</v>
      </c>
      <c r="B42" s="9" t="inlineStr">
        <is>
          <t>Xura</t>
        </is>
      </c>
      <c r="C42" s="10" t="inlineStr">
        <is>
          <t>Mythic</t>
        </is>
      </c>
      <c r="D42" s="8" t="inlineStr">
        <is>
          <t>Marksman</t>
        </is>
      </c>
      <c r="E42" s="11" t="n"/>
      <c r="F42" s="11" t="n"/>
      <c r="G42" s="11" t="n"/>
      <c r="H42" s="11" t="n"/>
      <c r="I42" s="11" t="n"/>
      <c r="J42" s="11" t="n"/>
      <c r="K42" s="11" t="n"/>
      <c r="L42" s="11" t="n"/>
      <c r="M42" s="11" t="n"/>
      <c r="N42" s="15" t="inlineStr">
        <is>
          <t>n/a</t>
        </is>
      </c>
      <c r="O42" s="11" t="n"/>
      <c r="P42" s="12" t="n"/>
      <c r="Q42" s="8">
        <f>IF(E42="Yes",IF(((F42="")+(G42="")+(H42="")+(I42="")+(J42="")+(K42="")+(L42="")+(M42="")+(O42=""))&gt;0,"Fill in the cream cells","OK"),IF(E42="No","Not owned",""))</f>
        <v/>
      </c>
      <c r="R42" s="13">
        <f>IF(AND(E42="Yes",F42&lt;&gt;"",F42&gt;=4,K42=5),"Yes","")</f>
        <v/>
      </c>
      <c r="S42" s="14" t="inlineStr">
        <is>
          <t>xura</t>
        </is>
      </c>
    </row>
    <row r="43">
      <c r="A43" s="18" t="n">
        <v>10</v>
      </c>
      <c r="B43" s="19" t="inlineStr">
        <is>
          <t>Blanchette</t>
        </is>
      </c>
      <c r="C43" s="10" t="inlineStr">
        <is>
          <t>Mythic</t>
        </is>
      </c>
      <c r="D43" s="18" t="inlineStr">
        <is>
          <t>Marksman</t>
        </is>
      </c>
      <c r="E43" s="11" t="n"/>
      <c r="F43" s="11" t="n"/>
      <c r="G43" s="11" t="n"/>
      <c r="H43" s="11" t="n"/>
      <c r="I43" s="11" t="n"/>
      <c r="J43" s="11" t="n"/>
      <c r="K43" s="11" t="n"/>
      <c r="L43" s="11" t="n"/>
      <c r="M43" s="11" t="n"/>
      <c r="N43" s="15" t="inlineStr">
        <is>
          <t>n/a</t>
        </is>
      </c>
      <c r="O43" s="11" t="n"/>
      <c r="P43" s="12" t="n"/>
      <c r="Q43" s="8">
        <f>IF(E43="Yes",IF(((F43="")+(G43="")+(H43="")+(I43="")+(J43="")+(K43="")+(L43="")+(M43="")+(O43=""))&gt;0,"Fill in the cream cells","OK"),IF(E43="No","Not owned",""))</f>
        <v/>
      </c>
      <c r="R43" s="13">
        <f>IF(AND(E43="Yes",F43&lt;&gt;"",F43&gt;=4,K43=5),"Yes","")</f>
        <v/>
      </c>
      <c r="S43" s="14" t="inlineStr">
        <is>
          <t>blanchette</t>
        </is>
      </c>
    </row>
    <row r="44">
      <c r="A44" s="18" t="n">
        <v>10</v>
      </c>
      <c r="B44" s="19" t="inlineStr">
        <is>
          <t>Freya</t>
        </is>
      </c>
      <c r="C44" s="10" t="inlineStr">
        <is>
          <t>Mythic</t>
        </is>
      </c>
      <c r="D44" s="18" t="inlineStr">
        <is>
          <t>Lancer</t>
        </is>
      </c>
      <c r="E44" s="11" t="n"/>
      <c r="F44" s="11" t="n"/>
      <c r="G44" s="11" t="n"/>
      <c r="H44" s="11" t="n"/>
      <c r="I44" s="11" t="n"/>
      <c r="J44" s="11" t="n"/>
      <c r="K44" s="11" t="n"/>
      <c r="L44" s="11" t="n"/>
      <c r="M44" s="11" t="n"/>
      <c r="N44" s="15" t="inlineStr">
        <is>
          <t>n/a</t>
        </is>
      </c>
      <c r="O44" s="11" t="n"/>
      <c r="P44" s="12" t="n"/>
      <c r="Q44" s="8">
        <f>IF(E44="Yes",IF(((F44="")+(G44="")+(H44="")+(I44="")+(J44="")+(K44="")+(L44="")+(M44="")+(O44=""))&gt;0,"Fill in the cream cells","OK"),IF(E44="No","Not owned",""))</f>
        <v/>
      </c>
      <c r="R44" s="13">
        <f>IF(AND(E44="Yes",F44&lt;&gt;"",F44&gt;=4,K44=5),"Yes","")</f>
        <v/>
      </c>
      <c r="S44" s="14" t="inlineStr">
        <is>
          <t>freya</t>
        </is>
      </c>
    </row>
    <row r="45">
      <c r="A45" s="18" t="n">
        <v>10</v>
      </c>
      <c r="B45" s="19" t="inlineStr">
        <is>
          <t>Gregory</t>
        </is>
      </c>
      <c r="C45" s="10" t="inlineStr">
        <is>
          <t>Mythic</t>
        </is>
      </c>
      <c r="D45" s="18" t="inlineStr">
        <is>
          <t>Infantry</t>
        </is>
      </c>
      <c r="E45" s="11" t="n"/>
      <c r="F45" s="11" t="n"/>
      <c r="G45" s="11" t="n"/>
      <c r="H45" s="11" t="n"/>
      <c r="I45" s="11" t="n"/>
      <c r="J45" s="11" t="n"/>
      <c r="K45" s="11" t="n"/>
      <c r="L45" s="11" t="n"/>
      <c r="M45" s="11" t="n"/>
      <c r="N45" s="15" t="inlineStr">
        <is>
          <t>n/a</t>
        </is>
      </c>
      <c r="O45" s="11" t="n"/>
      <c r="P45" s="12" t="n"/>
      <c r="Q45" s="8">
        <f>IF(E45="Yes",IF(((F45="")+(G45="")+(H45="")+(I45="")+(J45="")+(K45="")+(L45="")+(M45="")+(O45=""))&gt;0,"Fill in the cream cells","OK"),IF(E45="No","Not owned",""))</f>
        <v/>
      </c>
      <c r="R45" s="13">
        <f>IF(AND(E45="Yes",F45&lt;&gt;"",F45&gt;=4,K45=5),"Yes","")</f>
        <v/>
      </c>
      <c r="S45" s="14" t="inlineStr">
        <is>
          <t>gregory</t>
        </is>
      </c>
    </row>
    <row r="46">
      <c r="A46" s="8" t="n">
        <v>11</v>
      </c>
      <c r="B46" s="9" t="inlineStr">
        <is>
          <t>Eleonora</t>
        </is>
      </c>
      <c r="C46" s="10" t="inlineStr">
        <is>
          <t>Mythic</t>
        </is>
      </c>
      <c r="D46" s="8" t="inlineStr">
        <is>
          <t>Infantry</t>
        </is>
      </c>
      <c r="E46" s="11" t="n"/>
      <c r="F46" s="11" t="n"/>
      <c r="G46" s="11" t="n"/>
      <c r="H46" s="11" t="n"/>
      <c r="I46" s="11" t="n"/>
      <c r="J46" s="11" t="n"/>
      <c r="K46" s="11" t="n"/>
      <c r="L46" s="11" t="n"/>
      <c r="M46" s="11" t="n"/>
      <c r="N46" s="15" t="inlineStr">
        <is>
          <t>n/a</t>
        </is>
      </c>
      <c r="O46" s="11" t="n"/>
      <c r="P46" s="12" t="n"/>
      <c r="Q46" s="8">
        <f>IF(E46="Yes",IF(((F46="")+(G46="")+(H46="")+(I46="")+(J46="")+(K46="")+(L46="")+(M46="")+(O46=""))&gt;0,"Fill in the cream cells","OK"),IF(E46="No","Not owned",""))</f>
        <v/>
      </c>
      <c r="R46" s="13">
        <f>IF(AND(E46="Yes",F46&lt;&gt;"",F46&gt;=4,K46=5),"Yes","")</f>
        <v/>
      </c>
      <c r="S46" s="14" t="inlineStr">
        <is>
          <t>eleonora</t>
        </is>
      </c>
    </row>
    <row r="47">
      <c r="A47" s="8" t="n">
        <v>11</v>
      </c>
      <c r="B47" s="9" t="inlineStr">
        <is>
          <t>Lloyd</t>
        </is>
      </c>
      <c r="C47" s="10" t="inlineStr">
        <is>
          <t>Mythic</t>
        </is>
      </c>
      <c r="D47" s="8" t="inlineStr">
        <is>
          <t>Lancer</t>
        </is>
      </c>
      <c r="E47" s="11" t="n"/>
      <c r="F47" s="11" t="n"/>
      <c r="G47" s="11" t="n"/>
      <c r="H47" s="11" t="n"/>
      <c r="I47" s="11" t="n"/>
      <c r="J47" s="11" t="n"/>
      <c r="K47" s="11" t="n"/>
      <c r="L47" s="11" t="n"/>
      <c r="M47" s="11" t="n"/>
      <c r="N47" s="15" t="inlineStr">
        <is>
          <t>n/a</t>
        </is>
      </c>
      <c r="O47" s="11" t="n"/>
      <c r="P47" s="12" t="n"/>
      <c r="Q47" s="8">
        <f>IF(E47="Yes",IF(((F47="")+(G47="")+(H47="")+(I47="")+(J47="")+(K47="")+(L47="")+(M47="")+(O47=""))&gt;0,"Fill in the cream cells","OK"),IF(E47="No","Not owned",""))</f>
        <v/>
      </c>
      <c r="R47" s="13">
        <f>IF(AND(E47="Yes",F47&lt;&gt;"",F47&gt;=4,K47=5),"Yes","")</f>
        <v/>
      </c>
      <c r="S47" s="14" t="inlineStr">
        <is>
          <t>lloyd</t>
        </is>
      </c>
    </row>
    <row r="48">
      <c r="A48" s="8" t="n">
        <v>11</v>
      </c>
      <c r="B48" s="9" t="inlineStr">
        <is>
          <t>Rufus</t>
        </is>
      </c>
      <c r="C48" s="10" t="inlineStr">
        <is>
          <t>Mythic</t>
        </is>
      </c>
      <c r="D48" s="8" t="inlineStr">
        <is>
          <t>Marksman</t>
        </is>
      </c>
      <c r="E48" s="11" t="n"/>
      <c r="F48" s="11" t="n"/>
      <c r="G48" s="11" t="n"/>
      <c r="H48" s="11" t="n"/>
      <c r="I48" s="11" t="n"/>
      <c r="J48" s="11" t="n"/>
      <c r="K48" s="11" t="n"/>
      <c r="L48" s="11" t="n"/>
      <c r="M48" s="11" t="n"/>
      <c r="N48" s="15" t="inlineStr">
        <is>
          <t>n/a</t>
        </is>
      </c>
      <c r="O48" s="11" t="n"/>
      <c r="P48" s="12" t="n"/>
      <c r="Q48" s="8">
        <f>IF(E48="Yes",IF(((F48="")+(G48="")+(H48="")+(I48="")+(J48="")+(K48="")+(L48="")+(M48="")+(O48=""))&gt;0,"Fill in the cream cells","OK"),IF(E48="No","Not owned",""))</f>
        <v/>
      </c>
      <c r="R48" s="13">
        <f>IF(AND(E48="Yes",F48&lt;&gt;"",F48&gt;=4,K48=5),"Yes","")</f>
        <v/>
      </c>
      <c r="S48" s="14" t="inlineStr">
        <is>
          <t>rufus</t>
        </is>
      </c>
    </row>
    <row r="49">
      <c r="A49" s="18" t="n">
        <v>12</v>
      </c>
      <c r="B49" s="19" t="inlineStr">
        <is>
          <t>Hervor</t>
        </is>
      </c>
      <c r="C49" s="10" t="inlineStr">
        <is>
          <t>Mythic</t>
        </is>
      </c>
      <c r="D49" s="18" t="inlineStr">
        <is>
          <t>Infantry</t>
        </is>
      </c>
      <c r="E49" s="11" t="n"/>
      <c r="F49" s="11" t="n"/>
      <c r="G49" s="11" t="n"/>
      <c r="H49" s="11" t="n"/>
      <c r="I49" s="11" t="n"/>
      <c r="J49" s="11" t="n"/>
      <c r="K49" s="11" t="n"/>
      <c r="L49" s="11" t="n"/>
      <c r="M49" s="11" t="n"/>
      <c r="N49" s="15" t="inlineStr">
        <is>
          <t>n/a</t>
        </is>
      </c>
      <c r="O49" s="11" t="n"/>
      <c r="P49" s="12" t="n"/>
      <c r="Q49" s="8">
        <f>IF(E49="Yes",IF(((F49="")+(G49="")+(H49="")+(I49="")+(J49="")+(K49="")+(L49="")+(M49="")+(O49=""))&gt;0,"Fill in the cream cells","OK"),IF(E49="No","Not owned",""))</f>
        <v/>
      </c>
      <c r="R49" s="13">
        <f>IF(AND(E49="Yes",F49&lt;&gt;"",F49&gt;=4,K49=5),"Yes","")</f>
        <v/>
      </c>
      <c r="S49" s="14" t="inlineStr">
        <is>
          <t>hervor</t>
        </is>
      </c>
    </row>
    <row r="50">
      <c r="A50" s="18" t="n">
        <v>12</v>
      </c>
      <c r="B50" s="19" t="inlineStr">
        <is>
          <t>Karol</t>
        </is>
      </c>
      <c r="C50" s="10" t="inlineStr">
        <is>
          <t>Mythic</t>
        </is>
      </c>
      <c r="D50" s="18" t="inlineStr">
        <is>
          <t>Lancer</t>
        </is>
      </c>
      <c r="E50" s="11" t="n"/>
      <c r="F50" s="11" t="n"/>
      <c r="G50" s="11" t="n"/>
      <c r="H50" s="11" t="n"/>
      <c r="I50" s="11" t="n"/>
      <c r="J50" s="11" t="n"/>
      <c r="K50" s="11" t="n"/>
      <c r="L50" s="11" t="n"/>
      <c r="M50" s="11" t="n"/>
      <c r="N50" s="15" t="inlineStr">
        <is>
          <t>n/a</t>
        </is>
      </c>
      <c r="O50" s="11" t="n"/>
      <c r="P50" s="12" t="n"/>
      <c r="Q50" s="8">
        <f>IF(E50="Yes",IF(((F50="")+(G50="")+(H50="")+(I50="")+(J50="")+(K50="")+(L50="")+(M50="")+(O50=""))&gt;0,"Fill in the cream cells","OK"),IF(E50="No","Not owned",""))</f>
        <v/>
      </c>
      <c r="R50" s="13">
        <f>IF(AND(E50="Yes",F50&lt;&gt;"",F50&gt;=4,K50=5),"Yes","")</f>
        <v/>
      </c>
      <c r="S50" s="14" t="inlineStr">
        <is>
          <t>karol</t>
        </is>
      </c>
    </row>
    <row r="51">
      <c r="A51" s="18" t="n">
        <v>12</v>
      </c>
      <c r="B51" s="19" t="inlineStr">
        <is>
          <t>Ligeia</t>
        </is>
      </c>
      <c r="C51" s="10" t="inlineStr">
        <is>
          <t>Mythic</t>
        </is>
      </c>
      <c r="D51" s="18" t="inlineStr">
        <is>
          <t>Marksman</t>
        </is>
      </c>
      <c r="E51" s="11" t="n"/>
      <c r="F51" s="11" t="n"/>
      <c r="G51" s="11" t="n"/>
      <c r="H51" s="11" t="n"/>
      <c r="I51" s="11" t="n"/>
      <c r="J51" s="11" t="n"/>
      <c r="K51" s="11" t="n"/>
      <c r="L51" s="11" t="n"/>
      <c r="M51" s="11" t="n"/>
      <c r="N51" s="15" t="inlineStr">
        <is>
          <t>n/a</t>
        </is>
      </c>
      <c r="O51" s="11" t="n"/>
      <c r="P51" s="12" t="n"/>
      <c r="Q51" s="8">
        <f>IF(E51="Yes",IF(((F51="")+(G51="")+(H51="")+(I51="")+(J51="")+(K51="")+(L51="")+(M51="")+(O51=""))&gt;0,"Fill in the cream cells","OK"),IF(E51="No","Not owned",""))</f>
        <v/>
      </c>
      <c r="R51" s="13">
        <f>IF(AND(E51="Yes",F51&lt;&gt;"",F51&gt;=4,K51=5),"Yes","")</f>
        <v/>
      </c>
      <c r="S51" s="14" t="inlineStr">
        <is>
          <t>ligeia</t>
        </is>
      </c>
    </row>
    <row r="52">
      <c r="A52" s="8" t="n">
        <v>13</v>
      </c>
      <c r="B52" s="9" t="inlineStr">
        <is>
          <t>Flora</t>
        </is>
      </c>
      <c r="C52" s="10" t="inlineStr">
        <is>
          <t>Mythic</t>
        </is>
      </c>
      <c r="D52" s="8" t="inlineStr">
        <is>
          <t>Lancer</t>
        </is>
      </c>
      <c r="E52" s="11" t="n"/>
      <c r="F52" s="11" t="n"/>
      <c r="G52" s="11" t="n"/>
      <c r="H52" s="11" t="n"/>
      <c r="I52" s="11" t="n"/>
      <c r="J52" s="11" t="n"/>
      <c r="K52" s="11" t="n"/>
      <c r="L52" s="11" t="n"/>
      <c r="M52" s="11" t="n"/>
      <c r="N52" s="15" t="inlineStr">
        <is>
          <t>n/a</t>
        </is>
      </c>
      <c r="O52" s="11" t="n"/>
      <c r="P52" s="12" t="n"/>
      <c r="Q52" s="8">
        <f>IF(E52="Yes",IF(((F52="")+(G52="")+(H52="")+(I52="")+(J52="")+(K52="")+(L52="")+(M52="")+(O52=""))&gt;0,"Fill in the cream cells","OK"),IF(E52="No","Not owned",""))</f>
        <v/>
      </c>
      <c r="R52" s="13">
        <f>IF(AND(E52="Yes",F52&lt;&gt;"",F52&gt;=4,K52=5),"Yes","")</f>
        <v/>
      </c>
      <c r="S52" s="14" t="inlineStr">
        <is>
          <t>flora</t>
        </is>
      </c>
    </row>
    <row r="53">
      <c r="A53" s="8" t="n">
        <v>13</v>
      </c>
      <c r="B53" s="9" t="inlineStr">
        <is>
          <t>Gisela</t>
        </is>
      </c>
      <c r="C53" s="10" t="inlineStr">
        <is>
          <t>Mythic</t>
        </is>
      </c>
      <c r="D53" s="8" t="inlineStr">
        <is>
          <t>Infantry</t>
        </is>
      </c>
      <c r="E53" s="11" t="n"/>
      <c r="F53" s="11" t="n"/>
      <c r="G53" s="11" t="n"/>
      <c r="H53" s="11" t="n"/>
      <c r="I53" s="11" t="n"/>
      <c r="J53" s="11" t="n"/>
      <c r="K53" s="11" t="n"/>
      <c r="L53" s="11" t="n"/>
      <c r="M53" s="11" t="n"/>
      <c r="N53" s="15" t="inlineStr">
        <is>
          <t>n/a</t>
        </is>
      </c>
      <c r="O53" s="11" t="n"/>
      <c r="P53" s="12" t="n"/>
      <c r="Q53" s="8">
        <f>IF(E53="Yes",IF(((F53="")+(G53="")+(H53="")+(I53="")+(J53="")+(K53="")+(L53="")+(M53="")+(O53=""))&gt;0,"Fill in the cream cells","OK"),IF(E53="No","Not owned",""))</f>
        <v/>
      </c>
      <c r="R53" s="13">
        <f>IF(AND(E53="Yes",F53&lt;&gt;"",F53&gt;=4,K53=5),"Yes","")</f>
        <v/>
      </c>
      <c r="S53" s="14" t="inlineStr">
        <is>
          <t>gisela</t>
        </is>
      </c>
    </row>
    <row r="54">
      <c r="A54" s="8" t="n">
        <v>13</v>
      </c>
      <c r="B54" s="9" t="inlineStr">
        <is>
          <t>Vulcanus</t>
        </is>
      </c>
      <c r="C54" s="10" t="inlineStr">
        <is>
          <t>Mythic</t>
        </is>
      </c>
      <c r="D54" s="8" t="inlineStr">
        <is>
          <t>Marksman</t>
        </is>
      </c>
      <c r="E54" s="11" t="n"/>
      <c r="F54" s="11" t="n"/>
      <c r="G54" s="11" t="n"/>
      <c r="H54" s="11" t="n"/>
      <c r="I54" s="11" t="n"/>
      <c r="J54" s="11" t="n"/>
      <c r="K54" s="11" t="n"/>
      <c r="L54" s="11" t="n"/>
      <c r="M54" s="11" t="n"/>
      <c r="N54" s="15" t="inlineStr">
        <is>
          <t>n/a</t>
        </is>
      </c>
      <c r="O54" s="11" t="n"/>
      <c r="P54" s="12" t="n"/>
      <c r="Q54" s="8">
        <f>IF(E54="Yes",IF(((F54="")+(G54="")+(H54="")+(I54="")+(J54="")+(K54="")+(L54="")+(M54="")+(O54=""))&gt;0,"Fill in the cream cells","OK"),IF(E54="No","Not owned",""))</f>
        <v/>
      </c>
      <c r="R54" s="13">
        <f>IF(AND(E54="Yes",F54&lt;&gt;"",F54&gt;=4,K54=5),"Yes","")</f>
        <v/>
      </c>
      <c r="S54" s="14" t="inlineStr">
        <is>
          <t>vulcanus</t>
        </is>
      </c>
    </row>
    <row r="55">
      <c r="A55" s="18" t="n">
        <v>14</v>
      </c>
      <c r="B55" s="19" t="inlineStr">
        <is>
          <t>Cara</t>
        </is>
      </c>
      <c r="C55" s="10" t="inlineStr">
        <is>
          <t>Mythic</t>
        </is>
      </c>
      <c r="D55" s="18" t="inlineStr">
        <is>
          <t>Marksman</t>
        </is>
      </c>
      <c r="E55" s="11" t="n"/>
      <c r="F55" s="11" t="n"/>
      <c r="G55" s="11" t="n"/>
      <c r="H55" s="11" t="n"/>
      <c r="I55" s="11" t="n"/>
      <c r="J55" s="11" t="n"/>
      <c r="K55" s="11" t="n"/>
      <c r="L55" s="11" t="n"/>
      <c r="M55" s="11" t="n"/>
      <c r="N55" s="15" t="inlineStr">
        <is>
          <t>n/a</t>
        </is>
      </c>
      <c r="O55" s="11" t="n"/>
      <c r="P55" s="12" t="n"/>
      <c r="Q55" s="8">
        <f>IF(E55="Yes",IF(((F55="")+(G55="")+(H55="")+(I55="")+(J55="")+(K55="")+(L55="")+(M55="")+(O55=""))&gt;0,"Fill in the cream cells","OK"),IF(E55="No","Not owned",""))</f>
        <v/>
      </c>
      <c r="R55" s="13">
        <f>IF(AND(E55="Yes",F55&lt;&gt;"",F55&gt;=4,K55=5),"Yes","")</f>
        <v/>
      </c>
      <c r="S55" s="14" t="inlineStr">
        <is>
          <t>cara</t>
        </is>
      </c>
    </row>
    <row r="56">
      <c r="A56" s="18" t="n">
        <v>14</v>
      </c>
      <c r="B56" s="19" t="inlineStr">
        <is>
          <t>Dominic</t>
        </is>
      </c>
      <c r="C56" s="10" t="inlineStr">
        <is>
          <t>Mythic</t>
        </is>
      </c>
      <c r="D56" s="18" t="inlineStr">
        <is>
          <t>Lancer</t>
        </is>
      </c>
      <c r="E56" s="11" t="n"/>
      <c r="F56" s="11" t="n"/>
      <c r="G56" s="11" t="n"/>
      <c r="H56" s="11" t="n"/>
      <c r="I56" s="11" t="n"/>
      <c r="J56" s="11" t="n"/>
      <c r="K56" s="11" t="n"/>
      <c r="L56" s="11" t="n"/>
      <c r="M56" s="11" t="n"/>
      <c r="N56" s="15" t="inlineStr">
        <is>
          <t>n/a</t>
        </is>
      </c>
      <c r="O56" s="11" t="n"/>
      <c r="P56" s="12" t="n"/>
      <c r="Q56" s="8">
        <f>IF(E56="Yes",IF(((F56="")+(G56="")+(H56="")+(I56="")+(J56="")+(K56="")+(L56="")+(M56="")+(O56=""))&gt;0,"Fill in the cream cells","OK"),IF(E56="No","Not owned",""))</f>
        <v/>
      </c>
      <c r="R56" s="13">
        <f>IF(AND(E56="Yes",F56&lt;&gt;"",F56&gt;=4,K56=5),"Yes","")</f>
        <v/>
      </c>
      <c r="S56" s="14" t="inlineStr">
        <is>
          <t>dominic</t>
        </is>
      </c>
    </row>
    <row r="57">
      <c r="A57" s="18" t="n">
        <v>14</v>
      </c>
      <c r="B57" s="19" t="inlineStr">
        <is>
          <t>Elif</t>
        </is>
      </c>
      <c r="C57" s="10" t="inlineStr">
        <is>
          <t>Mythic</t>
        </is>
      </c>
      <c r="D57" s="18" t="inlineStr">
        <is>
          <t>Infantry</t>
        </is>
      </c>
      <c r="E57" s="11" t="n"/>
      <c r="F57" s="11" t="n"/>
      <c r="G57" s="11" t="n"/>
      <c r="H57" s="11" t="n"/>
      <c r="I57" s="11" t="n"/>
      <c r="J57" s="11" t="n"/>
      <c r="K57" s="11" t="n"/>
      <c r="L57" s="11" t="n"/>
      <c r="M57" s="11" t="n"/>
      <c r="N57" s="15" t="inlineStr">
        <is>
          <t>n/a</t>
        </is>
      </c>
      <c r="O57" s="11" t="n"/>
      <c r="P57" s="12" t="n"/>
      <c r="Q57" s="8">
        <f>IF(E57="Yes",IF(((F57="")+(G57="")+(H57="")+(I57="")+(J57="")+(K57="")+(L57="")+(M57="")+(O57=""))&gt;0,"Fill in the cream cells","OK"),IF(E57="No","Not owned",""))</f>
        <v/>
      </c>
      <c r="R57" s="13">
        <f>IF(AND(E57="Yes",F57&lt;&gt;"",F57&gt;=4,K57=5),"Yes","")</f>
        <v/>
      </c>
      <c r="S57" s="14" t="inlineStr">
        <is>
          <t>elif</t>
        </is>
      </c>
    </row>
    <row r="58">
      <c r="A58" s="8" t="n">
        <v>15</v>
      </c>
      <c r="B58" s="9" t="inlineStr">
        <is>
          <t>Estrella</t>
        </is>
      </c>
      <c r="C58" s="10" t="inlineStr">
        <is>
          <t>Mythic</t>
        </is>
      </c>
      <c r="D58" s="8" t="inlineStr">
        <is>
          <t>Lancer</t>
        </is>
      </c>
      <c r="E58" s="11" t="n"/>
      <c r="F58" s="11" t="n"/>
      <c r="G58" s="11" t="n"/>
      <c r="H58" s="11" t="n"/>
      <c r="I58" s="11" t="n"/>
      <c r="J58" s="11" t="n"/>
      <c r="K58" s="11" t="n"/>
      <c r="L58" s="11" t="n"/>
      <c r="M58" s="11" t="n"/>
      <c r="N58" s="15" t="inlineStr">
        <is>
          <t>n/a</t>
        </is>
      </c>
      <c r="O58" s="11" t="n"/>
      <c r="P58" s="12" t="n"/>
      <c r="Q58" s="8">
        <f>IF(E58="Yes",IF(((F58="")+(G58="")+(H58="")+(I58="")+(J58="")+(K58="")+(L58="")+(M58="")+(O58=""))&gt;0,"Fill in the cream cells","OK"),IF(E58="No","Not owned",""))</f>
        <v/>
      </c>
      <c r="R58" s="13">
        <f>IF(AND(E58="Yes",F58&lt;&gt;"",F58&gt;=4,K58=5),"Yes","")</f>
        <v/>
      </c>
      <c r="S58" s="14" t="inlineStr">
        <is>
          <t>estrella</t>
        </is>
      </c>
    </row>
    <row r="59">
      <c r="A59" s="8" t="n">
        <v>15</v>
      </c>
      <c r="B59" s="9" t="inlineStr">
        <is>
          <t>Hank</t>
        </is>
      </c>
      <c r="C59" s="10" t="inlineStr">
        <is>
          <t>Mythic</t>
        </is>
      </c>
      <c r="D59" s="8" t="inlineStr">
        <is>
          <t>Infantry</t>
        </is>
      </c>
      <c r="E59" s="11" t="n"/>
      <c r="F59" s="11" t="n"/>
      <c r="G59" s="11" t="n"/>
      <c r="H59" s="11" t="n"/>
      <c r="I59" s="11" t="n"/>
      <c r="J59" s="11" t="n"/>
      <c r="K59" s="11" t="n"/>
      <c r="L59" s="11" t="n"/>
      <c r="M59" s="11" t="n"/>
      <c r="N59" s="15" t="inlineStr">
        <is>
          <t>n/a</t>
        </is>
      </c>
      <c r="O59" s="11" t="n"/>
      <c r="P59" s="12" t="n"/>
      <c r="Q59" s="8">
        <f>IF(E59="Yes",IF(((F59="")+(G59="")+(H59="")+(I59="")+(J59="")+(K59="")+(L59="")+(M59="")+(O59=""))&gt;0,"Fill in the cream cells","OK"),IF(E59="No","Not owned",""))</f>
        <v/>
      </c>
      <c r="R59" s="13">
        <f>IF(AND(E59="Yes",F59&lt;&gt;"",F59&gt;=4,K59=5),"Yes","")</f>
        <v/>
      </c>
      <c r="S59" s="14" t="inlineStr">
        <is>
          <t>hank</t>
        </is>
      </c>
    </row>
    <row r="60">
      <c r="A60" s="8" t="n">
        <v>15</v>
      </c>
      <c r="B60" s="9" t="inlineStr">
        <is>
          <t>Viveca</t>
        </is>
      </c>
      <c r="C60" s="10" t="inlineStr">
        <is>
          <t>Mythic</t>
        </is>
      </c>
      <c r="D60" s="8" t="inlineStr">
        <is>
          <t>Marksman</t>
        </is>
      </c>
      <c r="E60" s="11" t="n"/>
      <c r="F60" s="11" t="n"/>
      <c r="G60" s="11" t="n"/>
      <c r="H60" s="11" t="n"/>
      <c r="I60" s="11" t="n"/>
      <c r="J60" s="11" t="n"/>
      <c r="K60" s="11" t="n"/>
      <c r="L60" s="11" t="n"/>
      <c r="M60" s="11" t="n"/>
      <c r="N60" s="15" t="inlineStr">
        <is>
          <t>n/a</t>
        </is>
      </c>
      <c r="O60" s="11" t="n"/>
      <c r="P60" s="12" t="n"/>
      <c r="Q60" s="8">
        <f>IF(E60="Yes",IF(((F60="")+(G60="")+(H60="")+(I60="")+(J60="")+(K60="")+(L60="")+(M60="")+(O60=""))&gt;0,"Fill in the cream cells","OK"),IF(E60="No","Not owned",""))</f>
        <v/>
      </c>
      <c r="R60" s="13">
        <f>IF(AND(E60="Yes",F60&lt;&gt;"",F60&gt;=4,K60=5),"Yes","")</f>
        <v/>
      </c>
      <c r="S60" s="14" t="inlineStr">
        <is>
          <t>viveca</t>
        </is>
      </c>
    </row>
    <row r="61">
      <c r="A61" s="18" t="n">
        <v>16</v>
      </c>
      <c r="B61" s="19" t="inlineStr">
        <is>
          <t>Aisling</t>
        </is>
      </c>
      <c r="C61" s="10" t="inlineStr">
        <is>
          <t>Mythic</t>
        </is>
      </c>
      <c r="D61" s="18" t="inlineStr">
        <is>
          <t>Marksman</t>
        </is>
      </c>
      <c r="E61" s="11" t="n"/>
      <c r="F61" s="11" t="n"/>
      <c r="G61" s="11" t="n"/>
      <c r="H61" s="11" t="n"/>
      <c r="I61" s="11" t="n"/>
      <c r="J61" s="11" t="n"/>
      <c r="K61" s="11" t="n"/>
      <c r="L61" s="11" t="n"/>
      <c r="M61" s="11" t="n"/>
      <c r="N61" s="15" t="inlineStr">
        <is>
          <t>n/a</t>
        </is>
      </c>
      <c r="O61" s="11" t="n"/>
      <c r="P61" s="12" t="n"/>
      <c r="Q61" s="8">
        <f>IF(E61="Yes",IF(((F61="")+(G61="")+(H61="")+(I61="")+(J61="")+(K61="")+(L61="")+(M61="")+(O61=""))&gt;0,"Fill in the cream cells","OK"),IF(E61="No","Not owned",""))</f>
        <v/>
      </c>
      <c r="R61" s="13">
        <f>IF(AND(E61="Yes",F61&lt;&gt;"",F61&gt;=4,K61=5),"Yes","")</f>
        <v/>
      </c>
      <c r="S61" s="14" t="inlineStr">
        <is>
          <t>aisling</t>
        </is>
      </c>
    </row>
    <row r="62">
      <c r="A62" s="18" t="n">
        <v>16</v>
      </c>
      <c r="B62" s="19" t="inlineStr">
        <is>
          <t>Seigel</t>
        </is>
      </c>
      <c r="C62" s="10" t="inlineStr">
        <is>
          <t>Mythic</t>
        </is>
      </c>
      <c r="D62" s="18" t="inlineStr">
        <is>
          <t>Infantry</t>
        </is>
      </c>
      <c r="E62" s="11" t="n"/>
      <c r="F62" s="11" t="n"/>
      <c r="G62" s="11" t="n"/>
      <c r="H62" s="11" t="n"/>
      <c r="I62" s="11" t="n"/>
      <c r="J62" s="11" t="n"/>
      <c r="K62" s="11" t="n"/>
      <c r="L62" s="11" t="n"/>
      <c r="M62" s="11" t="n"/>
      <c r="N62" s="15" t="inlineStr">
        <is>
          <t>n/a</t>
        </is>
      </c>
      <c r="O62" s="11" t="n"/>
      <c r="P62" s="12" t="n"/>
      <c r="Q62" s="8">
        <f>IF(E62="Yes",IF(((F62="")+(G62="")+(H62="")+(I62="")+(J62="")+(K62="")+(L62="")+(M62="")+(O62=""))&gt;0,"Fill in the cream cells","OK"),IF(E62="No","Not owned",""))</f>
        <v/>
      </c>
      <c r="R62" s="13">
        <f>IF(AND(E62="Yes",F62&lt;&gt;"",F62&gt;=4,K62=5),"Yes","")</f>
        <v/>
      </c>
      <c r="S62" s="14" t="inlineStr">
        <is>
          <t>seigel</t>
        </is>
      </c>
    </row>
    <row r="63">
      <c r="A63" s="18" t="n">
        <v>16</v>
      </c>
      <c r="B63" s="19" t="inlineStr">
        <is>
          <t>Ursar</t>
        </is>
      </c>
      <c r="C63" s="10" t="inlineStr">
        <is>
          <t>Mythic</t>
        </is>
      </c>
      <c r="D63" s="18" t="inlineStr">
        <is>
          <t>Lancer</t>
        </is>
      </c>
      <c r="E63" s="11" t="n"/>
      <c r="F63" s="11" t="n"/>
      <c r="G63" s="11" t="n"/>
      <c r="H63" s="11" t="n"/>
      <c r="I63" s="11" t="n"/>
      <c r="J63" s="11" t="n"/>
      <c r="K63" s="11" t="n"/>
      <c r="L63" s="11" t="n"/>
      <c r="M63" s="11" t="n"/>
      <c r="N63" s="15" t="inlineStr">
        <is>
          <t>n/a</t>
        </is>
      </c>
      <c r="O63" s="11" t="n"/>
      <c r="P63" s="12" t="n"/>
      <c r="Q63" s="8">
        <f>IF(E63="Yes",IF(((F63="")+(G63="")+(H63="")+(I63="")+(J63="")+(K63="")+(L63="")+(M63="")+(O63=""))&gt;0,"Fill in the cream cells","OK"),IF(E63="No","Not owned",""))</f>
        <v/>
      </c>
      <c r="R63" s="13">
        <f>IF(AND(E63="Yes",F63&lt;&gt;"",F63&gt;=4,K63=5),"Yes","")</f>
        <v/>
      </c>
      <c r="S63" s="14" t="inlineStr">
        <is>
          <t>ursar</t>
        </is>
      </c>
    </row>
    <row r="64">
      <c r="A64" s="8" t="n">
        <v>17</v>
      </c>
      <c r="B64" s="9" t="inlineStr">
        <is>
          <t>Aiden</t>
        </is>
      </c>
      <c r="C64" s="10" t="inlineStr">
        <is>
          <t>Mythic</t>
        </is>
      </c>
      <c r="D64" s="8" t="inlineStr">
        <is>
          <t>Infantry</t>
        </is>
      </c>
      <c r="E64" s="11" t="n"/>
      <c r="F64" s="11" t="n"/>
      <c r="G64" s="11" t="n"/>
      <c r="H64" s="11" t="n"/>
      <c r="I64" s="11" t="n"/>
      <c r="J64" s="11" t="n"/>
      <c r="K64" s="11" t="n"/>
      <c r="L64" s="11" t="n"/>
      <c r="M64" s="11" t="n"/>
      <c r="N64" s="15" t="inlineStr">
        <is>
          <t>n/a</t>
        </is>
      </c>
      <c r="O64" s="11" t="n"/>
      <c r="P64" s="12" t="n"/>
      <c r="Q64" s="8">
        <f>IF(E64="Yes",IF(((F64="")+(G64="")+(H64="")+(I64="")+(J64="")+(K64="")+(L64="")+(M64="")+(O64=""))&gt;0,"Fill in the cream cells","OK"),IF(E64="No","Not owned",""))</f>
        <v/>
      </c>
      <c r="R64" s="13">
        <f>IF(AND(E64="Yes",F64&lt;&gt;"",F64&gt;=4,K64=5),"Yes","")</f>
        <v/>
      </c>
      <c r="S64" s="14" t="inlineStr">
        <is>
          <t>aiden</t>
        </is>
      </c>
    </row>
    <row r="65">
      <c r="A65" s="8" t="n">
        <v>17</v>
      </c>
      <c r="B65" s="9" t="inlineStr">
        <is>
          <t>Bertha</t>
        </is>
      </c>
      <c r="C65" s="10" t="inlineStr">
        <is>
          <t>Mythic</t>
        </is>
      </c>
      <c r="D65" s="8" t="inlineStr">
        <is>
          <t>Lancer</t>
        </is>
      </c>
      <c r="E65" s="11" t="n"/>
      <c r="F65" s="11" t="n"/>
      <c r="G65" s="11" t="n"/>
      <c r="H65" s="11" t="n"/>
      <c r="I65" s="11" t="n"/>
      <c r="J65" s="11" t="n"/>
      <c r="K65" s="11" t="n"/>
      <c r="L65" s="11" t="n"/>
      <c r="M65" s="11" t="n"/>
      <c r="N65" s="15" t="inlineStr">
        <is>
          <t>n/a</t>
        </is>
      </c>
      <c r="O65" s="11" t="n"/>
      <c r="P65" s="12" t="n"/>
      <c r="Q65" s="8">
        <f>IF(E65="Yes",IF(((F65="")+(G65="")+(H65="")+(I65="")+(J65="")+(K65="")+(L65="")+(M65="")+(O65=""))&gt;0,"Fill in the cream cells","OK"),IF(E65="No","Not owned",""))</f>
        <v/>
      </c>
      <c r="R65" s="13">
        <f>IF(AND(E65="Yes",F65&lt;&gt;"",F65&gt;=4,K65=5),"Yes","")</f>
        <v/>
      </c>
      <c r="S65" s="14" t="inlineStr">
        <is>
          <t>bertha</t>
        </is>
      </c>
    </row>
    <row r="66">
      <c r="A66" s="8" t="n">
        <v>17</v>
      </c>
      <c r="B66" s="9" t="inlineStr">
        <is>
          <t>Eleanor</t>
        </is>
      </c>
      <c r="C66" s="10" t="inlineStr">
        <is>
          <t>Mythic</t>
        </is>
      </c>
      <c r="D66" s="8" t="inlineStr">
        <is>
          <t>Marksman</t>
        </is>
      </c>
      <c r="E66" s="11" t="n"/>
      <c r="F66" s="11" t="n"/>
      <c r="G66" s="11" t="n"/>
      <c r="H66" s="11" t="n"/>
      <c r="I66" s="11" t="n"/>
      <c r="J66" s="11" t="n"/>
      <c r="K66" s="11" t="n"/>
      <c r="L66" s="11" t="n"/>
      <c r="M66" s="11" t="n"/>
      <c r="N66" s="15" t="inlineStr">
        <is>
          <t>n/a</t>
        </is>
      </c>
      <c r="O66" s="11" t="n"/>
      <c r="P66" s="12" t="n"/>
      <c r="Q66" s="8">
        <f>IF(E66="Yes",IF(((F66="")+(G66="")+(H66="")+(I66="")+(J66="")+(K66="")+(L66="")+(M66="")+(O66=""))&gt;0,"Fill in the cream cells","OK"),IF(E66="No","Not owned",""))</f>
        <v/>
      </c>
      <c r="R66" s="13">
        <f>IF(AND(E66="Yes",F66&lt;&gt;"",F66&gt;=4,K66=5),"Yes","")</f>
        <v/>
      </c>
      <c r="S66" s="14" t="inlineStr">
        <is>
          <t>eleanor</t>
        </is>
      </c>
    </row>
  </sheetData>
  <autoFilter ref="A1:S66"/>
  <conditionalFormatting sqref="A2:D66">
    <cfRule type="expression" priority="1" dxfId="0">
      <formula>$E2="No"</formula>
    </cfRule>
  </conditionalFormatting>
  <conditionalFormatting sqref="Q2:Q66">
    <cfRule type="expression" priority="2" dxfId="1">
      <formula>$Q2="OK"</formula>
    </cfRule>
    <cfRule type="expression" priority="3" dxfId="2">
      <formula>LEFT($Q2,4)="Fill"</formula>
    </cfRule>
  </conditionalFormatting>
  <conditionalFormatting sqref="R2:R66">
    <cfRule type="expression" priority="4" dxfId="1">
      <formula>$R2="Yes"</formula>
    </cfRule>
  </conditionalFormatting>
  <dataValidations count="379">
    <dataValidation sqref="E2 E3 E4 E5 E6 E7 E8 E9 E10 E11 E12 E13 E14 E15 E16 E17 E18 E19 E20 E21 E22 E23 E24 E25 E26 E27 E28 E29 E30 E31 E32 E33 E34 E35 E36 E37 E38 E39 E40 E41 E42 E43 E44 E45 E46 E47 E48 E49 E50 E51 E52 E53 E54 E55 E56 E57 E58 E59 E60 E61 E62 E63 E64 E65 E66" showDropDown="0" showInputMessage="1" showErrorMessage="1" allowBlank="1" errorTitle="Pick from the list" error="Please choose one of the values in the dropdown." promptTitle="Have hero?" prompt="Choose Yes if you own this hero, otherwise No." type="list">
      <formula1>=Lists!$A$2:$A$3</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showDropDown="0" showInputMessage="0" showErrorMessage="1" allowBlank="1" errorTitle="Pick from the list" error="Please choose one of the values in the dropdown." type="list">
      <formula1>=Lists!$B$2:$B$7</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showDropDown="0" showInputMessage="0" showErrorMessage="1" allowBlank="1" errorTitle="Pick from the list" error="Please choose one of the values in the dropdown." type="list">
      <formula1>=Lists!$C$2:$C$7</formula1>
    </dataValidation>
    <dataValidation sqref="O2 O3 O4 O5 O19 O20 O21 O22 O23 O24 O25 O26 O27 O28 O29 O30 O31 O32 O33 O34 O35 O36 O37 O38 O39 O40 O41 O42 O43 O44 O45 O46 O47 O48 O49 O50 O51 O52 O53 O54 O55 O56 O57 O58 O59 O60 O61 O62 O63 O64 O65 O66" showDropDown="0" showInputMessage="0" showErrorMessage="1" allowBlank="1" errorTitle="Pick from the list" error="Please choose one of the values in the dropdown." type="list">
      <formula1>=Lists!$E$2:$E$12</formula1>
    </dataValidation>
    <dataValidation sqref="H2" showDropDown="0" showInputMessage="1" showErrorMessage="1" allowBlank="1" errorTitle="Pick from the list" error="Skill levels are 1 to 5." promptTitle="Exploration 1" prompt="Jeronimo: Combo Slash." type="list">
      <formula1>=Lists!$D$2:$D$6</formula1>
    </dataValidation>
    <dataValidation sqref="I2" showDropDown="0" showInputMessage="1" showErrorMessage="1" allowBlank="1" errorTitle="Pick from the list" error="Skill levels are 1 to 5." promptTitle="Exploration 2" prompt="Jeronimo: Sword Art." type="list">
      <formula1>=Lists!$D$2:$D$6</formula1>
    </dataValidation>
    <dataValidation sqref="J2" showDropDown="0" showInputMessage="1" showErrorMessage="1" allowBlank="1" errorTitle="Pick from the list" error="Skill levels are 1 to 5." promptTitle="Exploration 3" prompt="Jeronimo: Lone Wolf." type="list">
      <formula1>=Lists!$D$2:$D$6</formula1>
    </dataValidation>
    <dataValidation sqref="K2" showDropDown="0" showInputMessage="1" showErrorMessage="1" allowBlank="1" errorTitle="Pick from the list" error="Skill levels are 1 to 5." promptTitle="Expedition 1" prompt="Jeronimo: Battle Manifesto. First skill: the one that counts for Bear joining." type="list">
      <formula1>=Lists!$D$2:$D$6</formula1>
    </dataValidation>
    <dataValidation sqref="L2" showDropDown="0" showInputMessage="1" showErrorMessage="1" allowBlank="1" errorTitle="Pick from the list" error="Skill levels are 1 to 5." promptTitle="Expedition 2" prompt="Jeronimo: Swordmentor." type="list">
      <formula1>=Lists!$D$2:$D$6</formula1>
    </dataValidation>
    <dataValidation sqref="M2" showDropDown="0" showInputMessage="1" showErrorMessage="1" allowBlank="1" errorTitle="Pick from the list" error="Skill levels are 1 to 5." promptTitle="Expedition 3" prompt="Jeronimo: Expert Swordsmanship." type="list">
      <formula1>=Lists!$D$2:$D$6</formula1>
    </dataValidation>
    <dataValidation sqref="N2" showDropDown="0" showInputMessage="1" showErrorMessage="1" allowBlank="1" errorTitle="Pick from the list" error="Skill levels are 1 to 5." promptTitle="Expedition 4" prompt="Jeronimo: Natural Leader." type="list">
      <formula1>=Lists!$D$2:$D$6</formula1>
    </dataValidation>
    <dataValidation sqref="H3" showDropDown="0" showInputMessage="1" showErrorMessage="1" allowBlank="1" errorTitle="Pick from the list" error="Skill levels are 1 to 5." promptTitle="Exploration 1" prompt="Molly: Super Snowball." type="list">
      <formula1>=Lists!$D$2:$D$6</formula1>
    </dataValidation>
    <dataValidation sqref="I3" showDropDown="0" showInputMessage="1" showErrorMessage="1" allowBlank="1" errorTitle="Pick from the list" error="Skill levels are 1 to 5." promptTitle="Exploration 2" prompt="Molly: Frost Ambush." type="list">
      <formula1>=Lists!$D$2:$D$6</formula1>
    </dataValidation>
    <dataValidation sqref="J3" showDropDown="0" showInputMessage="1" showErrorMessage="1" allowBlank="1" errorTitle="Pick from the list" error="Skill levels are 1 to 5." promptTitle="Exploration 3" prompt="Molly: Youthful Persistence." type="list">
      <formula1>=Lists!$D$2:$D$6</formula1>
    </dataValidation>
    <dataValidation sqref="K3" showDropDown="0" showInputMessage="1" showErrorMessage="1" allowBlank="1" errorTitle="Pick from the list" error="Skill levels are 1 to 5." promptTitle="Expedition 1" prompt="Molly: Snow's Grace. First skill: the one that counts for Bear joining." type="list">
      <formula1>=Lists!$D$2:$D$6</formula1>
    </dataValidation>
    <dataValidation sqref="L3" showDropDown="0" showInputMessage="1" showErrorMessage="1" allowBlank="1" errorTitle="Pick from the list" error="Skill levels are 1 to 5." promptTitle="Expedition 2" prompt="Molly: Ice Dominion." type="list">
      <formula1>=Lists!$D$2:$D$6</formula1>
    </dataValidation>
    <dataValidation sqref="M3" showDropDown="0" showInputMessage="1" showErrorMessage="1" allowBlank="1" errorTitle="Pick from the list" error="Skill levels are 1 to 5." promptTitle="Expedition 3" prompt="Molly: Youthful Rage." type="list">
      <formula1>=Lists!$D$2:$D$6</formula1>
    </dataValidation>
    <dataValidation sqref="H4" showDropDown="0" showInputMessage="1" showErrorMessage="1" allowBlank="1" errorTitle="Pick from the list" error="Skill levels are 1 to 5." promptTitle="Exploration 1" prompt="Natalia: Beast Charge." type="list">
      <formula1>=Lists!$D$2:$D$6</formula1>
    </dataValidation>
    <dataValidation sqref="I4" showDropDown="0" showInputMessage="1" showErrorMessage="1" allowBlank="1" errorTitle="Pick from the list" error="Skill levels are 1 to 5." promptTitle="Exploration 2" prompt="Natalia: Whip." type="list">
      <formula1>=Lists!$D$2:$D$6</formula1>
    </dataValidation>
    <dataValidation sqref="J4" showDropDown="0" showInputMessage="1" showErrorMessage="1" allowBlank="1" errorTitle="Pick from the list" error="Skill levels are 1 to 5." promptTitle="Exploration 3" prompt="Natalia: Rage Response." type="list">
      <formula1>=Lists!$D$2:$D$6</formula1>
    </dataValidation>
    <dataValidation sqref="K4" showDropDown="0" showInputMessage="1" showErrorMessage="1" allowBlank="1" errorTitle="Pick from the list" error="Skill levels are 1 to 5." promptTitle="Expedition 1" prompt="Natalia: Feral Protection. First skill: the one that counts for Bear joining." type="list">
      <formula1>=Lists!$D$2:$D$6</formula1>
    </dataValidation>
    <dataValidation sqref="L4" showDropDown="0" showInputMessage="1" showErrorMessage="1" allowBlank="1" errorTitle="Pick from the list" error="Skill levels are 1 to 5." promptTitle="Expedition 2" prompt="Natalia: Queen of the Wild." type="list">
      <formula1>=Lists!$D$2:$D$6</formula1>
    </dataValidation>
    <dataValidation sqref="M4" showDropDown="0" showInputMessage="1" showErrorMessage="1" allowBlank="1" errorTitle="Pick from the list" error="Skill levels are 1 to 5." promptTitle="Expedition 3" prompt="Natalia: Call of the Wild." type="list">
      <formula1>=Lists!$D$2:$D$6</formula1>
    </dataValidation>
    <dataValidation sqref="N4" showDropDown="0" showInputMessage="1" showErrorMessage="1" allowBlank="1" errorTitle="Pick from the list" error="Skill levels are 1 to 5." promptTitle="Expedition 4" prompt="Natalia: Ursus Strength." type="list">
      <formula1>=Lists!$D$2:$D$6</formula1>
    </dataValidation>
    <dataValidation sqref="H5" showDropDown="0" showInputMessage="1" showErrorMessage="1" allowBlank="1" errorTitle="Pick from the list" error="Skill levels are 1 to 5." promptTitle="Exploration 1" prompt="Zinman: Nail Scatter." type="list">
      <formula1>=Lists!$D$2:$D$6</formula1>
    </dataValidation>
    <dataValidation sqref="I5" showDropDown="0" showInputMessage="1" showErrorMessage="1" allowBlank="1" errorTitle="Pick from the list" error="Skill levels are 1 to 5." promptTitle="Exploration 2" prompt="Zinman: Quick Defense." type="list">
      <formula1>=Lists!$D$2:$D$6</formula1>
    </dataValidation>
    <dataValidation sqref="J5" showDropDown="0" showInputMessage="1" showErrorMessage="1" allowBlank="1" errorTitle="Pick from the list" error="Skill levels are 1 to 5." promptTitle="Exploration 3" prompt="Zinman: Robust." type="list">
      <formula1>=Lists!$D$2:$D$6</formula1>
    </dataValidation>
    <dataValidation sqref="K5" showDropDown="0" showInputMessage="1" showErrorMessage="1" allowBlank="1" errorTitle="Pick from the list" error="Skill levels are 1 to 5." promptTitle="Expedition 1" prompt="Zinman: Implacable. First skill: the one that counts for Bear joining." type="list">
      <formula1>=Lists!$D$2:$D$6</formula1>
    </dataValidation>
    <dataValidation sqref="L5" showDropDown="0" showInputMessage="1" showErrorMessage="1" allowBlank="1" errorTitle="Pick from the list" error="Skill levels are 1 to 5." promptTitle="Expedition 2" prompt="Zinman: Bastionist." type="list">
      <formula1>=Lists!$D$2:$D$6</formula1>
    </dataValidation>
    <dataValidation sqref="M5" showDropDown="0" showInputMessage="1" showErrorMessage="1" allowBlank="1" errorTitle="Pick from the list" error="Skill levels are 1 to 5." promptTitle="Expedition 3" prompt="Zinman: Positional Battler." type="list">
      <formula1>=Lists!$D$2:$D$6</formula1>
    </dataValidation>
    <dataValidation sqref="H6" showDropDown="0" showInputMessage="1" showErrorMessage="1" allowBlank="1" errorTitle="Pick from the list" error="Skill levels are 1 to 5." promptTitle="Exploration 1" prompt="Bahiti: Precise Shot." type="list">
      <formula1>=Lists!$D$2:$D$6</formula1>
    </dataValidation>
    <dataValidation sqref="I6" showDropDown="0" showInputMessage="1" showErrorMessage="1" allowBlank="1" errorTitle="Pick from the list" error="Skill levels are 1 to 5." promptTitle="Exploration 2" prompt="Bahiti: Quick Shot." type="list">
      <formula1>=Lists!$D$2:$D$6</formula1>
    </dataValidation>
    <dataValidation sqref="J6" showDropDown="0" showInputMessage="1" showErrorMessage="1" allowBlank="1" errorTitle="Pick from the list" error="Skill levels are 1 to 5." promptTitle="Exploration 3" prompt="Bahiti: Pathfinder Vision." type="list">
      <formula1>=Lists!$D$2:$D$6</formula1>
    </dataValidation>
    <dataValidation sqref="K6" showDropDown="0" showInputMessage="1" showErrorMessage="1" allowBlank="1" errorTitle="Pick from the list" error="Skill levels are 1 to 5." promptTitle="Expedition 1" prompt="Bahiti: Sixth Sense. First skill: the one that counts for Bear joining." type="list">
      <formula1>=Lists!$D$2:$D$6</formula1>
    </dataValidation>
    <dataValidation sqref="L6" showDropDown="0" showInputMessage="1" showErrorMessage="1" allowBlank="1" errorTitle="Pick from the list" error="Skill levels are 1 to 5." promptTitle="Expedition 2" prompt="Bahiti: Fluorescence." type="list">
      <formula1>=Lists!$D$2:$D$6</formula1>
    </dataValidation>
    <dataValidation sqref="H7" showDropDown="0" showInputMessage="1" showErrorMessage="1" allowBlank="1" errorTitle="Pick from the list" error="Skill levels are 1 to 5." promptTitle="Exploration 1" prompt="Gina: Incendiary Arrow." type="list">
      <formula1>=Lists!$D$2:$D$6</formula1>
    </dataValidation>
    <dataValidation sqref="I7" showDropDown="0" showInputMessage="1" showErrorMessage="1" allowBlank="1" errorTitle="Pick from the list" error="Skill levels are 1 to 5." promptTitle="Exploration 2" prompt="Gina: Windtalker." type="list">
      <formula1>=Lists!$D$2:$D$6</formula1>
    </dataValidation>
    <dataValidation sqref="J7" showDropDown="0" showInputMessage="1" showErrorMessage="1" allowBlank="1" errorTitle="Pick from the list" error="Skill levels are 1 to 5." promptTitle="Exploration 3" prompt="Gina: Eagle Eyes." type="list">
      <formula1>=Lists!$D$2:$D$6</formula1>
    </dataValidation>
    <dataValidation sqref="K7" showDropDown="0" showInputMessage="1" showErrorMessage="1" allowBlank="1" errorTitle="Pick from the list" error="Skill levels are 1 to 5." promptTitle="Expedition 1" prompt="Gina: Endurance Training. First skill: the one that counts for Bear joining." type="list">
      <formula1>=Lists!$D$2:$D$6</formula1>
    </dataValidation>
    <dataValidation sqref="L7" showDropDown="0" showInputMessage="1" showErrorMessage="1" allowBlank="1" errorTitle="Pick from the list" error="Skill levels are 1 to 5." promptTitle="Expedition 2" prompt="Gina: Quick Paced." type="list">
      <formula1>=Lists!$D$2:$D$6</formula1>
    </dataValidation>
    <dataValidation sqref="H8" showDropDown="0" showInputMessage="1" showErrorMessage="1" allowBlank="1" errorTitle="Pick from the list" error="Skill levels are 1 to 5." promptTitle="Exploration 1" prompt="Jasser: Triple Volley." type="list">
      <formula1>=Lists!$D$2:$D$6</formula1>
    </dataValidation>
    <dataValidation sqref="I8" showDropDown="0" showInputMessage="1" showErrorMessage="1" allowBlank="1" errorTitle="Pick from the list" error="Skill levels are 1 to 5." promptTitle="Exploration 2" prompt="Jasser: Suppressive Fire." type="list">
      <formula1>=Lists!$D$2:$D$6</formula1>
    </dataValidation>
    <dataValidation sqref="J8" showDropDown="0" showInputMessage="1" showErrorMessage="1" allowBlank="1" errorTitle="Pick from the list" error="Skill levels are 1 to 5." promptTitle="Exploration 3" prompt="Jasser: Natural Precision." type="list">
      <formula1>=Lists!$D$2:$D$6</formula1>
    </dataValidation>
    <dataValidation sqref="K8" showDropDown="0" showInputMessage="1" showErrorMessage="1" allowBlank="1" errorTitle="Pick from the list" error="Skill levels are 1 to 5." promptTitle="Expedition 1" prompt="Jasser: Tactical Genius. First skill: the one that counts for Bear joining." type="list">
      <formula1>=Lists!$D$2:$D$6</formula1>
    </dataValidation>
    <dataValidation sqref="L8" showDropDown="0" showInputMessage="1" showErrorMessage="1" allowBlank="1" errorTitle="Pick from the list" error="Skill levels are 1 to 5." promptTitle="Expedition 2" prompt="Jasser: Enlightened Warfare." type="list">
      <formula1>=Lists!$D$2:$D$6</formula1>
    </dataValidation>
    <dataValidation sqref="H9" showDropDown="0" showInputMessage="1" showErrorMessage="1" allowBlank="1" errorTitle="Pick from the list" error="Skill levels are 1 to 5." promptTitle="Exploration 1" prompt="Jessie: Burst Fire." type="list">
      <formula1>=Lists!$D$2:$D$6</formula1>
    </dataValidation>
    <dataValidation sqref="I9" showDropDown="0" showInputMessage="1" showErrorMessage="1" allowBlank="1" errorTitle="Pick from the list" error="Skill levels are 1 to 5." promptTitle="Exploration 2" prompt="Jessie: Defense Upgrade." type="list">
      <formula1>=Lists!$D$2:$D$6</formula1>
    </dataValidation>
    <dataValidation sqref="J9" showDropDown="0" showInputMessage="1" showErrorMessage="1" allowBlank="1" errorTitle="Pick from the list" error="Skill levels are 1 to 5." promptTitle="Exploration 3" prompt="Jessie: Weapon Upgrade." type="list">
      <formula1>=Lists!$D$2:$D$6</formula1>
    </dataValidation>
    <dataValidation sqref="K9" showDropDown="0" showInputMessage="1" showErrorMessage="1" allowBlank="1" errorTitle="Pick from the list" error="Skill levels are 1 to 5." promptTitle="Expedition 1" prompt="Jessie: Stand of Arms. First skill: the one that counts for Bear joining." type="list">
      <formula1>=Lists!$D$2:$D$6</formula1>
    </dataValidation>
    <dataValidation sqref="L9" showDropDown="0" showInputMessage="1" showErrorMessage="1" allowBlank="1" errorTitle="Pick from the list" error="Skill levels are 1 to 5." promptTitle="Expedition 2" prompt="Jessie: Bulwarks." type="list">
      <formula1>=Lists!$D$2:$D$6</formula1>
    </dataValidation>
    <dataValidation sqref="H10" showDropDown="0" showInputMessage="1" showErrorMessage="1" allowBlank="1" errorTitle="Pick from the list" error="Skill levels are 1 to 5." promptTitle="Exploration 1" prompt="Ling Xue: Hurricane Whirl." type="list">
      <formula1>=Lists!$D$2:$D$6</formula1>
    </dataValidation>
    <dataValidation sqref="I10" showDropDown="0" showInputMessage="1" showErrorMessage="1" allowBlank="1" errorTitle="Pick from the list" error="Skill levels are 1 to 5." promptTitle="Exploration 2" prompt="Ling Xue: Galeforce." type="list">
      <formula1>=Lists!$D$2:$D$6</formula1>
    </dataValidation>
    <dataValidation sqref="J10" showDropDown="0" showInputMessage="1" showErrorMessage="1" allowBlank="1" errorTitle="Pick from the list" error="Skill levels are 1 to 5." promptTitle="Exploration 3" prompt="Ling Xue: Desperate Measures." type="list">
      <formula1>=Lists!$D$2:$D$6</formula1>
    </dataValidation>
    <dataValidation sqref="K10" showDropDown="0" showInputMessage="1" showErrorMessage="1" allowBlank="1" errorTitle="Pick from the list" error="Skill levels are 1 to 5." promptTitle="Expedition 1" prompt="Ling Xue: Fearsome Aura. First skill: the one that counts for Bear joining." type="list">
      <formula1>=Lists!$D$2:$D$6</formula1>
    </dataValidation>
    <dataValidation sqref="L10" showDropDown="0" showInputMessage="1" showErrorMessage="1" allowBlank="1" errorTitle="Pick from the list" error="Skill levels are 1 to 5." promptTitle="Expedition 2" prompt="Ling Xue: Total Control." type="list">
      <formula1>=Lists!$D$2:$D$6</formula1>
    </dataValidation>
    <dataValidation sqref="H11" showDropDown="0" showInputMessage="1" showErrorMessage="1" allowBlank="1" errorTitle="Pick from the list" error="Skill levels are 1 to 5." promptTitle="Exploration 1" prompt="Lumak Bokan: Earthshake." type="list">
      <formula1>=Lists!$D$2:$D$6</formula1>
    </dataValidation>
    <dataValidation sqref="I11" showDropDown="0" showInputMessage="1" showErrorMessage="1" allowBlank="1" errorTitle="Pick from the list" error="Skill levels are 1 to 5." promptTitle="Exploration 2" prompt="Lumak Bokan: Echoing Boost." type="list">
      <formula1>=Lists!$D$2:$D$6</formula1>
    </dataValidation>
    <dataValidation sqref="J11" showDropDown="0" showInputMessage="1" showErrorMessage="1" allowBlank="1" errorTitle="Pick from the list" error="Skill levels are 1 to 5." promptTitle="Exploration 3" prompt="Lumak Bokan: Jungle-Born Agility." type="list">
      <formula1>=Lists!$D$2:$D$6</formula1>
    </dataValidation>
    <dataValidation sqref="K11" showDropDown="0" showInputMessage="1" showErrorMessage="1" allowBlank="1" errorTitle="Pick from the list" error="Skill levels are 1 to 5." promptTitle="Expedition 1" prompt="Lumak Bokan: Tactical Deception. First skill: the one that counts for Bear joining." type="list">
      <formula1>=Lists!$D$2:$D$6</formula1>
    </dataValidation>
    <dataValidation sqref="L11" showDropDown="0" showInputMessage="1" showErrorMessage="1" allowBlank="1" errorTitle="Pick from the list" error="Skill levels are 1 to 5." promptTitle="Expedition 2" prompt="Lumak Bokan: Emerald Warrior." type="list">
      <formula1>=Lists!$D$2:$D$6</formula1>
    </dataValidation>
    <dataValidation sqref="H12" showDropDown="0" showInputMessage="1" showErrorMessage="1" allowBlank="1" errorTitle="Pick from the list" error="Skill levels are 1 to 5." promptTitle="Exploration 1" prompt="Patrick: BBQ Feast." type="list">
      <formula1>=Lists!$D$2:$D$6</formula1>
    </dataValidation>
    <dataValidation sqref="I12" showDropDown="0" showInputMessage="1" showErrorMessage="1" allowBlank="1" errorTitle="Pick from the list" error="Skill levels are 1 to 5." promptTitle="Exploration 2" prompt="Patrick: Thick Belly." type="list">
      <formula1>=Lists!$D$2:$D$6</formula1>
    </dataValidation>
    <dataValidation sqref="J12" showDropDown="0" showInputMessage="1" showErrorMessage="1" allowBlank="1" errorTitle="Pick from the list" error="Skill levels are 1 to 5." promptTitle="Exploration 3" prompt="Patrick: Emergency Snack." type="list">
      <formula1>=Lists!$D$2:$D$6</formula1>
    </dataValidation>
    <dataValidation sqref="K12" showDropDown="0" showInputMessage="1" showErrorMessage="1" allowBlank="1" errorTitle="Pick from the list" error="Skill levels are 1 to 5." promptTitle="Expedition 1" prompt="Patrick: Super Nutrients. First skill: the one that counts for Bear joining." type="list">
      <formula1>=Lists!$D$2:$D$6</formula1>
    </dataValidation>
    <dataValidation sqref="L12" showDropDown="0" showInputMessage="1" showErrorMessage="1" allowBlank="1" errorTitle="Pick from the list" error="Skill levels are 1 to 5." promptTitle="Expedition 2" prompt="Patrick: Caloric Booster." type="list">
      <formula1>=Lists!$D$2:$D$6</formula1>
    </dataValidation>
    <dataValidation sqref="H13" showDropDown="0" showInputMessage="1" showErrorMessage="1" allowBlank="1" errorTitle="Pick from the list" error="Skill levels are 1 to 5." promptTitle="Exploration 1" prompt="Seo-yoon: Heartbeat of Valor." type="list">
      <formula1>=Lists!$D$2:$D$6</formula1>
    </dataValidation>
    <dataValidation sqref="I13" showDropDown="0" showInputMessage="1" showErrorMessage="1" allowBlank="1" errorTitle="Pick from the list" error="Skill levels are 1 to 5." promptTitle="Exploration 2" prompt="Seo-yoon: Bullseye Bash." type="list">
      <formula1>=Lists!$D$2:$D$6</formula1>
    </dataValidation>
    <dataValidation sqref="J13" showDropDown="0" showInputMessage="1" showErrorMessage="1" allowBlank="1" errorTitle="Pick from the list" error="Skill levels are 1 to 5." promptTitle="Exploration 3" prompt="Seo-yoon: Gale's Pulse." type="list">
      <formula1>=Lists!$D$2:$D$6</formula1>
    </dataValidation>
    <dataValidation sqref="K13" showDropDown="0" showInputMessage="1" showErrorMessage="1" allowBlank="1" errorTitle="Pick from the list" error="Skill levels are 1 to 5." promptTitle="Expedition 1" prompt="Seo-yoon: Rallying Beat. First skill: the one that counts for Bear joining." type="list">
      <formula1>=Lists!$D$2:$D$6</formula1>
    </dataValidation>
    <dataValidation sqref="L13" showDropDown="0" showInputMessage="1" showErrorMessage="1" allowBlank="1" errorTitle="Pick from the list" error="Skill levels are 1 to 5." promptTitle="Expedition 2" prompt="Seo-yoon: Soothing Dance." type="list">
      <formula1>=Lists!$D$2:$D$6</formula1>
    </dataValidation>
    <dataValidation sqref="H14" showDropDown="0" showInputMessage="1" showErrorMessage="1" allowBlank="1" errorTitle="Pick from the list" error="Skill levels are 1 to 5." promptTitle="Exploration 1" prompt="Sergey: Shielded Strike." type="list">
      <formula1>=Lists!$D$2:$D$6</formula1>
    </dataValidation>
    <dataValidation sqref="I14" showDropDown="0" showInputMessage="1" showErrorMessage="1" allowBlank="1" errorTitle="Pick from the list" error="Skill levels are 1 to 5." promptTitle="Exploration 2" prompt="Sergey: Joint Defense." type="list">
      <formula1>=Lists!$D$2:$D$6</formula1>
    </dataValidation>
    <dataValidation sqref="J14" showDropDown="0" showInputMessage="1" showErrorMessage="1" allowBlank="1" errorTitle="Pick from the list" error="Skill levels are 1 to 5." promptTitle="Exploration 3" prompt="Sergey: Shield Block." type="list">
      <formula1>=Lists!$D$2:$D$6</formula1>
    </dataValidation>
    <dataValidation sqref="K14" showDropDown="0" showInputMessage="1" showErrorMessage="1" allowBlank="1" errorTitle="Pick from the list" error="Skill levels are 1 to 5." promptTitle="Expedition 1" prompt="Sergey: Defenders' Edge. First skill: the one that counts for Bear joining." type="list">
      <formula1>=Lists!$D$2:$D$6</formula1>
    </dataValidation>
    <dataValidation sqref="L14" showDropDown="0" showInputMessage="1" showErrorMessage="1" allowBlank="1" errorTitle="Pick from the list" error="Skill levels are 1 to 5." promptTitle="Expedition 2" prompt="Sergey: Weaken." type="list">
      <formula1>=Lists!$D$2:$D$6</formula1>
    </dataValidation>
    <dataValidation sqref="H15" showDropDown="0" showInputMessage="1" showErrorMessage="1" allowBlank="1" errorTitle="Pick from the list" error="Skill levels are 1 to 5." promptTitle="Exploration 1" prompt="Charlie: Shrapnel Load." type="list">
      <formula1>=Lists!$D$2:$D$6</formula1>
    </dataValidation>
    <dataValidation sqref="I15" showDropDown="0" showInputMessage="1" showErrorMessage="1" allowBlank="1" errorTitle="Pick from the list" error="Skill levels are 1 to 5." promptTitle="Exploration 2" prompt="Charlie: Grenadier." type="list">
      <formula1>=Lists!$D$2:$D$6</formula1>
    </dataValidation>
    <dataValidation sqref="K15" showDropDown="0" showInputMessage="1" showErrorMessage="1" allowBlank="1" errorTitle="Pick from the list" error="Skill levels are 1 to 5." promptTitle="Expedition 1" prompt="Charlie: Demolitions Expert. First skill: the one that counts for Bear joining." type="list">
      <formula1>=Lists!$D$2:$D$6</formula1>
    </dataValidation>
    <dataValidation sqref="L15" showDropDown="0" showInputMessage="1" showErrorMessage="1" allowBlank="1" errorTitle="Pick from the list" error="Skill levels are 1 to 5." promptTitle="Expedition 2" prompt="Charlie: Coal Extraction." type="list">
      <formula1>=Lists!$D$2:$D$6</formula1>
    </dataValidation>
    <dataValidation sqref="H16" showDropDown="0" showInputMessage="1" showErrorMessage="1" allowBlank="1" errorTitle="Pick from the list" error="Skill levels are 1 to 5." promptTitle="Exploration 1" prompt="Cloris: Rain of Arrows." type="list">
      <formula1>=Lists!$D$2:$D$6</formula1>
    </dataValidation>
    <dataValidation sqref="I16" showDropDown="0" showInputMessage="1" showErrorMessage="1" allowBlank="1" errorTitle="Pick from the list" error="Skill levels are 1 to 5." promptTitle="Exploration 2" prompt="Cloris: Hunter's Mark." type="list">
      <formula1>=Lists!$D$2:$D$6</formula1>
    </dataValidation>
    <dataValidation sqref="K16" showDropDown="0" showInputMessage="1" showErrorMessage="1" allowBlank="1" errorTitle="Pick from the list" error="Skill levels are 1 to 5." promptTitle="Expedition 1" prompt="Cloris: Top Hunter. First skill: the one that counts for Bear joining." type="list">
      <formula1>=Lists!$D$2:$D$6</formula1>
    </dataValidation>
    <dataValidation sqref="L16" showDropDown="0" showInputMessage="1" showErrorMessage="1" allowBlank="1" errorTitle="Pick from the list" error="Skill levels are 1 to 5." promptTitle="Expedition 2" prompt="Cloris: Predator." type="list">
      <formula1>=Lists!$D$2:$D$6</formula1>
    </dataValidation>
    <dataValidation sqref="H17" showDropDown="0" showInputMessage="1" showErrorMessage="1" allowBlank="1" errorTitle="Pick from the list" error="Skill levels are 1 to 5." promptTitle="Exploration 1" prompt="Eugene: Axe Whirl." type="list">
      <formula1>=Lists!$D$2:$D$6</formula1>
    </dataValidation>
    <dataValidation sqref="I17" showDropDown="0" showInputMessage="1" showErrorMessage="1" allowBlank="1" errorTitle="Pick from the list" error="Skill levels are 1 to 5." promptTitle="Exploration 2" prompt="Eugene: Razor Sharp." type="list">
      <formula1>=Lists!$D$2:$D$6</formula1>
    </dataValidation>
    <dataValidation sqref="K17" showDropDown="0" showInputMessage="1" showErrorMessage="1" allowBlank="1" errorTitle="Pick from the list" error="Skill levels are 1 to 5." promptTitle="Expedition 1" prompt="Eugene: Woodland Inheritor. First skill: the one that counts for Bear joining." type="list">
      <formula1>=Lists!$D$2:$D$6</formula1>
    </dataValidation>
    <dataValidation sqref="L17" showDropDown="0" showInputMessage="1" showErrorMessage="1" allowBlank="1" errorTitle="Pick from the list" error="Skill levels are 1 to 5." promptTitle="Expedition 2" prompt="Eugene: Master Woodcutter." type="list">
      <formula1>=Lists!$D$2:$D$6</formula1>
    </dataValidation>
    <dataValidation sqref="H18" showDropDown="0" showInputMessage="1" showErrorMessage="1" allowBlank="1" errorTitle="Pick from the list" error="Skill levels are 1 to 5." promptTitle="Exploration 1" prompt="Smith: Hammer Burn." type="list">
      <formula1>=Lists!$D$2:$D$6</formula1>
    </dataValidation>
    <dataValidation sqref="I18" showDropDown="0" showInputMessage="1" showErrorMessage="1" allowBlank="1" errorTitle="Pick from the list" error="Skill levels are 1 to 5." promptTitle="Exploration 2" prompt="Smith: Armor Enhancement." type="list">
      <formula1>=Lists!$D$2:$D$6</formula1>
    </dataValidation>
    <dataValidation sqref="K18" showDropDown="0" showInputMessage="1" showErrorMessage="1" allowBlank="1" errorTitle="Pick from the list" error="Skill levels are 1 to 5." promptTitle="Expedition 1" prompt="Smith: Burnished Iron. First skill: the one that counts for Bear joining." type="list">
      <formula1>=Lists!$D$2:$D$6</formula1>
    </dataValidation>
    <dataValidation sqref="L18" showDropDown="0" showInputMessage="1" showErrorMessage="1" allowBlank="1" errorTitle="Pick from the list" error="Skill levels are 1 to 5." promptTitle="Expedition 2" prompt="Smith: Craftsmanship." type="list">
      <formula1>=Lists!$D$2:$D$6</formula1>
    </dataValidation>
    <dataValidation sqref="H19" showDropDown="0" showInputMessage="1" showErrorMessage="1" allowBlank="1" errorTitle="Pick from the list" error="Skill levels are 1 to 5." promptTitle="Exploration 1" prompt="Alonso: Trapnet." type="list">
      <formula1>=Lists!$D$2:$D$6</formula1>
    </dataValidation>
    <dataValidation sqref="I19" showDropDown="0" showInputMessage="1" showErrorMessage="1" allowBlank="1" errorTitle="Pick from the list" error="Skill levels are 1 to 5." promptTitle="Exploration 2" prompt="Alonso: Tidal Force." type="list">
      <formula1>=Lists!$D$2:$D$6</formula1>
    </dataValidation>
    <dataValidation sqref="J19" showDropDown="0" showInputMessage="1" showErrorMessage="1" allowBlank="1" errorTitle="Pick from the list" error="Skill levels are 1 to 5." promptTitle="Exploration 3" prompt="Alonso: Harpoon Blast." type="list">
      <formula1>=Lists!$D$2:$D$6</formula1>
    </dataValidation>
    <dataValidation sqref="K19" showDropDown="0" showInputMessage="1" showErrorMessage="1" allowBlank="1" errorTitle="Pick from the list" error="Skill levels are 1 to 5." promptTitle="Expedition 1" prompt="Alonso: Onslaught. First skill: the one that counts for Bear joining." type="list">
      <formula1>=Lists!$D$2:$D$6</formula1>
    </dataValidation>
    <dataValidation sqref="L19" showDropDown="0" showInputMessage="1" showErrorMessage="1" allowBlank="1" errorTitle="Pick from the list" error="Skill levels are 1 to 5." promptTitle="Expedition 2" prompt="Alonso: Iron Strength." type="list">
      <formula1>=Lists!$D$2:$D$6</formula1>
    </dataValidation>
    <dataValidation sqref="M19" showDropDown="0" showInputMessage="1" showErrorMessage="1" allowBlank="1" errorTitle="Pick from the list" error="Skill levels are 1 to 5." promptTitle="Expedition 3" prompt="Alonso: Poison Harpoon." type="list">
      <formula1>=Lists!$D$2:$D$6</formula1>
    </dataValidation>
    <dataValidation sqref="H20" showDropDown="0" showInputMessage="1" showErrorMessage="1" allowBlank="1" errorTitle="Pick from the list" error="Skill levels are 1 to 5." promptTitle="Exploration 1" prompt="Flint: Fires of Vengeance." type="list">
      <formula1>=Lists!$D$2:$D$6</formula1>
    </dataValidation>
    <dataValidation sqref="I20" showDropDown="0" showInputMessage="1" showErrorMessage="1" allowBlank="1" errorTitle="Pick from the list" error="Skill levels are 1 to 5." promptTitle="Exploration 2" prompt="Flint: Incinerator." type="list">
      <formula1>=Lists!$D$2:$D$6</formula1>
    </dataValidation>
    <dataValidation sqref="J20" showDropDown="0" showInputMessage="1" showErrorMessage="1" allowBlank="1" errorTitle="Pick from the list" error="Skill levels are 1 to 5." promptTitle="Exploration 3" prompt="Flint: Heat Diffusion." type="list">
      <formula1>=Lists!$D$2:$D$6</formula1>
    </dataValidation>
    <dataValidation sqref="K20" showDropDown="0" showInputMessage="1" showErrorMessage="1" allowBlank="1" errorTitle="Pick from the list" error="Skill levels are 1 to 5." promptTitle="Expedition 1" prompt="Flint: Pyromaniac. First skill: the one that counts for Bear joining." type="list">
      <formula1>=Lists!$D$2:$D$6</formula1>
    </dataValidation>
    <dataValidation sqref="L20" showDropDown="0" showInputMessage="1" showErrorMessage="1" allowBlank="1" errorTitle="Pick from the list" error="Skill levels are 1 to 5." promptTitle="Expedition 2" prompt="Flint: Burning Resolve." type="list">
      <formula1>=Lists!$D$2:$D$6</formula1>
    </dataValidation>
    <dataValidation sqref="M20" showDropDown="0" showInputMessage="1" showErrorMessage="1" allowBlank="1" errorTitle="Pick from the list" error="Skill levels are 1 to 5." promptTitle="Expedition 3" prompt="Flint: Immolation." type="list">
      <formula1>=Lists!$D$2:$D$6</formula1>
    </dataValidation>
    <dataValidation sqref="H21" showDropDown="0" showInputMessage="1" showErrorMessage="1" allowBlank="1" errorTitle="Pick from the list" error="Skill levels are 1 to 5." promptTitle="Exploration 1" prompt="Philly: First Aid." type="list">
      <formula1>=Lists!$D$2:$D$6</formula1>
    </dataValidation>
    <dataValidation sqref="I21" showDropDown="0" showInputMessage="1" showErrorMessage="1" allowBlank="1" errorTitle="Pick from the list" error="Skill levels are 1 to 5." promptTitle="Exploration 2" prompt="Philly: Restorative Hands." type="list">
      <formula1>=Lists!$D$2:$D$6</formula1>
    </dataValidation>
    <dataValidation sqref="J21" showDropDown="0" showInputMessage="1" showErrorMessage="1" allowBlank="1" errorTitle="Pick from the list" error="Skill levels are 1 to 5." promptTitle="Exploration 3" prompt="Philly: Paralytic Lotion." type="list">
      <formula1>=Lists!$D$2:$D$6</formula1>
    </dataValidation>
    <dataValidation sqref="K21" showDropDown="0" showInputMessage="1" showErrorMessage="1" allowBlank="1" errorTitle="Pick from the list" error="Skill levels are 1 to 5." promptTitle="Expedition 1" prompt="Philly: Vigor Tactics. First skill: the one that counts for Bear joining." type="list">
      <formula1>=Lists!$D$2:$D$6</formula1>
    </dataValidation>
    <dataValidation sqref="L21" showDropDown="0" showInputMessage="1" showErrorMessage="1" allowBlank="1" errorTitle="Pick from the list" error="Skill levels are 1 to 5." promptTitle="Expedition 2" prompt="Philly: Dosage Boost." type="list">
      <formula1>=Lists!$D$2:$D$6</formula1>
    </dataValidation>
    <dataValidation sqref="M21" showDropDown="0" showInputMessage="1" showErrorMessage="1" allowBlank="1" errorTitle="Pick from the list" error="Skill levels are 1 to 5." promptTitle="Expedition 3" prompt="Philly: Energizing Shot." type="list">
      <formula1>=Lists!$D$2:$D$6</formula1>
    </dataValidation>
    <dataValidation sqref="H22" showDropDown="0" showInputMessage="1" showErrorMessage="1" allowBlank="1" errorTitle="Pick from the list" error="Skill levels are 1 to 5." promptTitle="Exploration 1" prompt="Greg: Righteous Wind." type="list">
      <formula1>=Lists!$D$2:$D$6</formula1>
    </dataValidation>
    <dataValidation sqref="I22" showDropDown="0" showInputMessage="1" showErrorMessage="1" allowBlank="1" errorTitle="Pick from the list" error="Skill levels are 1 to 5." promptTitle="Exploration 2" prompt="Greg: Poetic Justice." type="list">
      <formula1>=Lists!$D$2:$D$6</formula1>
    </dataValidation>
    <dataValidation sqref="J22" showDropDown="0" showInputMessage="1" showErrorMessage="1" allowBlank="1" errorTitle="Pick from the list" error="Skill levels are 1 to 5." promptTitle="Exploration 3" prompt="Greg: Fair Judgment." type="list">
      <formula1>=Lists!$D$2:$D$6</formula1>
    </dataValidation>
    <dataValidation sqref="K22" showDropDown="0" showInputMessage="1" showErrorMessage="1" allowBlank="1" errorTitle="Pick from the list" error="Skill levels are 1 to 5." promptTitle="Expedition 1" prompt="Greg: Sword of Justice. First skill: the one that counts for Bear joining." type="list">
      <formula1>=Lists!$D$2:$D$6</formula1>
    </dataValidation>
    <dataValidation sqref="L22" showDropDown="0" showInputMessage="1" showErrorMessage="1" allowBlank="1" errorTitle="Pick from the list" error="Skill levels are 1 to 5." promptTitle="Expedition 2" prompt="Greg: Deterrence of Law." type="list">
      <formula1>=Lists!$D$2:$D$6</formula1>
    </dataValidation>
    <dataValidation sqref="M22" showDropDown="0" showInputMessage="1" showErrorMessage="1" allowBlank="1" errorTitle="Pick from the list" error="Skill levels are 1 to 5." promptTitle="Expedition 3" prompt="Greg: Law and Order." type="list">
      <formula1>=Lists!$D$2:$D$6</formula1>
    </dataValidation>
    <dataValidation sqref="H23" showDropDown="0" showInputMessage="1" showErrorMessage="1" allowBlank="1" errorTitle="Pick from the list" error="Skill levels are 1 to 5." promptTitle="Exploration 1" prompt="Logan: Fists of Destruction." type="list">
      <formula1>=Lists!$D$2:$D$6</formula1>
    </dataValidation>
    <dataValidation sqref="I23" showDropDown="0" showInputMessage="1" showErrorMessage="1" allowBlank="1" errorTitle="Pick from the list" error="Skill levels are 1 to 5." promptTitle="Exploration 2" prompt="Logan: Power Suit." type="list">
      <formula1>=Lists!$D$2:$D$6</formula1>
    </dataValidation>
    <dataValidation sqref="J23" showDropDown="0" showInputMessage="1" showErrorMessage="1" allowBlank="1" errorTitle="Pick from the list" error="Skill levels are 1 to 5." promptTitle="Exploration 3" prompt="Logan: Blustery Strike." type="list">
      <formula1>=Lists!$D$2:$D$6</formula1>
    </dataValidation>
    <dataValidation sqref="K23" showDropDown="0" showInputMessage="1" showErrorMessage="1" allowBlank="1" errorTitle="Pick from the list" error="Skill levels are 1 to 5." promptTitle="Expedition 1" prompt="Logan: Lion's Might. First skill: the one that counts for Bear joining." type="list">
      <formula1>=Lists!$D$2:$D$6</formula1>
    </dataValidation>
    <dataValidation sqref="L23" showDropDown="0" showInputMessage="1" showErrorMessage="1" allowBlank="1" errorTitle="Pick from the list" error="Skill levels are 1 to 5." promptTitle="Expedition 2" prompt="Logan: Lion Intimidation." type="list">
      <formula1>=Lists!$D$2:$D$6</formula1>
    </dataValidation>
    <dataValidation sqref="M23" showDropDown="0" showInputMessage="1" showErrorMessage="1" allowBlank="1" errorTitle="Pick from the list" error="Skill levels are 1 to 5." promptTitle="Expedition 3" prompt="Logan: Leader Inspiration." type="list">
      <formula1>=Lists!$D$2:$D$6</formula1>
    </dataValidation>
    <dataValidation sqref="H24" showDropDown="0" showInputMessage="1" showErrorMessage="1" allowBlank="1" errorTitle="Pick from the list" error="Skill levels are 1 to 5." promptTitle="Exploration 1" prompt="Mia: Fate’s Finale." type="list">
      <formula1>=Lists!$D$2:$D$6</formula1>
    </dataValidation>
    <dataValidation sqref="I24" showDropDown="0" showInputMessage="1" showErrorMessage="1" allowBlank="1" errorTitle="Pick from the list" error="Skill levels are 1 to 5." promptTitle="Exploration 2" prompt="Mia: Bad Omen." type="list">
      <formula1>=Lists!$D$2:$D$6</formula1>
    </dataValidation>
    <dataValidation sqref="J24" showDropDown="0" showInputMessage="1" showErrorMessage="1" allowBlank="1" errorTitle="Pick from the list" error="Skill levels are 1 to 5." promptTitle="Exploration 3" prompt="Mia: Guardian of Destiny." type="list">
      <formula1>=Lists!$D$2:$D$6</formula1>
    </dataValidation>
    <dataValidation sqref="K24" showDropDown="0" showInputMessage="1" showErrorMessage="1" allowBlank="1" errorTitle="Pick from the list" error="Skill levels are 1 to 5." promptTitle="Expedition 1" prompt="Mia: Bad Luck Streak. First skill: the one that counts for Bear joining." type="list">
      <formula1>=Lists!$D$2:$D$6</formula1>
    </dataValidation>
    <dataValidation sqref="L24" showDropDown="0" showInputMessage="1" showErrorMessage="1" allowBlank="1" errorTitle="Pick from the list" error="Skill levels are 1 to 5." promptTitle="Expedition 2" prompt="Mia: Lucky Charm." type="list">
      <formula1>=Lists!$D$2:$D$6</formula1>
    </dataValidation>
    <dataValidation sqref="M24" showDropDown="0" showInputMessage="1" showErrorMessage="1" allowBlank="1" errorTitle="Pick from the list" error="Skill levels are 1 to 5." promptTitle="Expedition 3" prompt="Mia: Ritual Deciphering." type="list">
      <formula1>=Lists!$D$2:$D$6</formula1>
    </dataValidation>
    <dataValidation sqref="H25" showDropDown="0" showInputMessage="1" showErrorMessage="1" allowBlank="1" errorTitle="Pick from the list" error="Skill levels are 1 to 5." promptTitle="Exploration 1" prompt="Ahmose: Cthugha's Protection." type="list">
      <formula1>=Lists!$D$2:$D$6</formula1>
    </dataValidation>
    <dataValidation sqref="I25" showDropDown="0" showInputMessage="1" showErrorMessage="1" allowBlank="1" errorTitle="Pick from the list" error="Skill levels are 1 to 5." promptTitle="Exploration 2" prompt="Ahmose: Daybreak Knife." type="list">
      <formula1>=Lists!$D$2:$D$6</formula1>
    </dataValidation>
    <dataValidation sqref="J25" showDropDown="0" showInputMessage="1" showErrorMessage="1" allowBlank="1" errorTitle="Pick from the list" error="Skill levels are 1 to 5." promptTitle="Exploration 3" prompt="Ahmose: Ancestral Blessing." type="list">
      <formula1>=Lists!$D$2:$D$6</formula1>
    </dataValidation>
    <dataValidation sqref="K25" showDropDown="0" showInputMessage="1" showErrorMessage="1" allowBlank="1" errorTitle="Pick from the list" error="Skill levels are 1 to 5." promptTitle="Expedition 1" prompt="Ahmose: Viper Formation. First skill: the one that counts for Bear joining." type="list">
      <formula1>=Lists!$D$2:$D$6</formula1>
    </dataValidation>
    <dataValidation sqref="L25" showDropDown="0" showInputMessage="1" showErrorMessage="1" allowBlank="1" errorTitle="Pick from the list" error="Skill levels are 1 to 5." promptTitle="Expedition 2" prompt="Ahmose: Prayer of Flame." type="list">
      <formula1>=Lists!$D$2:$D$6</formula1>
    </dataValidation>
    <dataValidation sqref="M25" showDropDown="0" showInputMessage="1" showErrorMessage="1" allowBlank="1" errorTitle="Pick from the list" error="Skill levels are 1 to 5." promptTitle="Expedition 3" prompt="Ahmose: Blade of Light." type="list">
      <formula1>=Lists!$D$2:$D$6</formula1>
    </dataValidation>
    <dataValidation sqref="H26" showDropDown="0" showInputMessage="1" showErrorMessage="1" allowBlank="1" errorTitle="Pick from the list" error="Skill levels are 1 to 5." promptTitle="Exploration 1" prompt="Lynn: Hymn of Sidrak." type="list">
      <formula1>=Lists!$D$2:$D$6</formula1>
    </dataValidation>
    <dataValidation sqref="I26" showDropDown="0" showInputMessage="1" showErrorMessage="1" allowBlank="1" errorTitle="Pick from the list" error="Skill levels are 1 to 5." promptTitle="Exploration 2" prompt="Lynn: Lethal Finale." type="list">
      <formula1>=Lists!$D$2:$D$6</formula1>
    </dataValidation>
    <dataValidation sqref="J26" showDropDown="0" showInputMessage="1" showErrorMessage="1" allowBlank="1" errorTitle="Pick from the list" error="Skill levels are 1 to 5." promptTitle="Exploration 3" prompt="Lynn: Discordant Tune." type="list">
      <formula1>=Lists!$D$2:$D$6</formula1>
    </dataValidation>
    <dataValidation sqref="K26" showDropDown="0" showInputMessage="1" showErrorMessage="1" allowBlank="1" errorTitle="Pick from the list" error="Skill levels are 1 to 5." promptTitle="Expedition 1" prompt="Lynn: Song of Lion. First skill: the one that counts for Bear joining." type="list">
      <formula1>=Lists!$D$2:$D$6</formula1>
    </dataValidation>
    <dataValidation sqref="L26" showDropDown="0" showInputMessage="1" showErrorMessage="1" allowBlank="1" errorTitle="Pick from the list" error="Skill levels are 1 to 5." promptTitle="Expedition 2" prompt="Lynn: Melancholic Ballad." type="list">
      <formula1>=Lists!$D$2:$D$6</formula1>
    </dataValidation>
    <dataValidation sqref="M26" showDropDown="0" showInputMessage="1" showErrorMessage="1" allowBlank="1" errorTitle="Pick from the list" error="Skill levels are 1 to 5." promptTitle="Expedition 3" prompt="Lynn: Oonai Cadenza." type="list">
      <formula1>=Lists!$D$2:$D$6</formula1>
    </dataValidation>
    <dataValidation sqref="H27" showDropDown="0" showInputMessage="1" showErrorMessage="1" allowBlank="1" errorTitle="Pick from the list" error="Skill levels are 1 to 5." promptTitle="Exploration 1" prompt="Reina: Phantom Assault." type="list">
      <formula1>=Lists!$D$2:$D$6</formula1>
    </dataValidation>
    <dataValidation sqref="I27" showDropDown="0" showInputMessage="1" showErrorMessage="1" allowBlank="1" errorTitle="Pick from the list" error="Skill levels are 1 to 5." promptTitle="Exploration 2" prompt="Reina: Vanishing Technique." type="list">
      <formula1>=Lists!$D$2:$D$6</formula1>
    </dataValidation>
    <dataValidation sqref="J27" showDropDown="0" showInputMessage="1" showErrorMessage="1" allowBlank="1" errorTitle="Pick from the list" error="Skill levels are 1 to 5." promptTitle="Exploration 3" prompt="Reina: Poison of Demon." type="list">
      <formula1>=Lists!$D$2:$D$6</formula1>
    </dataValidation>
    <dataValidation sqref="K27" showDropDown="0" showInputMessage="1" showErrorMessage="1" allowBlank="1" errorTitle="Pick from the list" error="Skill levels are 1 to 5." promptTitle="Expedition 1" prompt="Reina: Assassin's Instinct. First skill: the one that counts for Bear joining." type="list">
      <formula1>=Lists!$D$2:$D$6</formula1>
    </dataValidation>
    <dataValidation sqref="L27" showDropDown="0" showInputMessage="1" showErrorMessage="1" allowBlank="1" errorTitle="Pick from the list" error="Skill levels are 1 to 5." promptTitle="Expedition 2" prompt="Reina: Swift Jive." type="list">
      <formula1>=Lists!$D$2:$D$6</formula1>
    </dataValidation>
    <dataValidation sqref="M27" showDropDown="0" showInputMessage="1" showErrorMessage="1" allowBlank="1" errorTitle="Pick from the list" error="Skill levels are 1 to 5." promptTitle="Expedition 3" prompt="Reina: Shadow Blade." type="list">
      <formula1>=Lists!$D$2:$D$6</formula1>
    </dataValidation>
    <dataValidation sqref="H28" showDropDown="0" showInputMessage="1" showErrorMessage="1" allowBlank="1" errorTitle="Pick from the list" error="Skill levels are 1 to 5." promptTitle="Exploration 1" prompt="Gwen: Salvo." type="list">
      <formula1>=Lists!$D$2:$D$6</formula1>
    </dataValidation>
    <dataValidation sqref="I28" showDropDown="0" showInputMessage="1" showErrorMessage="1" allowBlank="1" errorTitle="Pick from the list" error="Skill levels are 1 to 5." promptTitle="Exploration 2" prompt="Gwen: Sky Sniper." type="list">
      <formula1>=Lists!$D$2:$D$6</formula1>
    </dataValidation>
    <dataValidation sqref="J28" showDropDown="0" showInputMessage="1" showErrorMessage="1" allowBlank="1" errorTitle="Pick from the list" error="Skill levels are 1 to 5." promptTitle="Exploration 3" prompt="Gwen: Hellfire." type="list">
      <formula1>=Lists!$D$2:$D$6</formula1>
    </dataValidation>
    <dataValidation sqref="K28" showDropDown="0" showInputMessage="1" showErrorMessage="1" allowBlank="1" errorTitle="Pick from the list" error="Skill levels are 1 to 5." promptTitle="Expedition 1" prompt="Gwen: Eagle Vision. First skill: the one that counts for Bear joining." type="list">
      <formula1>=Lists!$D$2:$D$6</formula1>
    </dataValidation>
    <dataValidation sqref="L28" showDropDown="0" showInputMessage="1" showErrorMessage="1" allowBlank="1" errorTitle="Pick from the list" error="Skill levels are 1 to 5." promptTitle="Expedition 2" prompt="Gwen: Air Dominance." type="list">
      <formula1>=Lists!$D$2:$D$6</formula1>
    </dataValidation>
    <dataValidation sqref="M28" showDropDown="0" showInputMessage="1" showErrorMessage="1" allowBlank="1" errorTitle="Pick from the list" error="Skill levels are 1 to 5." promptTitle="Expedition 3" prompt="Gwen: Blastmaster." type="list">
      <formula1>=Lists!$D$2:$D$6</formula1>
    </dataValidation>
    <dataValidation sqref="H29" showDropDown="0" showInputMessage="1" showErrorMessage="1" allowBlank="1" errorTitle="Pick from the list" error="Skill levels are 1 to 5." promptTitle="Exploration 1" prompt="Hector: Sword Whirlwind." type="list">
      <formula1>=Lists!$D$2:$D$6</formula1>
    </dataValidation>
    <dataValidation sqref="I29" showDropDown="0" showInputMessage="1" showErrorMessage="1" allowBlank="1" errorTitle="Pick from the list" error="Skill levels are 1 to 5." promptTitle="Exploration 2" prompt="Hector: Desperado." type="list">
      <formula1>=Lists!$D$2:$D$6</formula1>
    </dataValidation>
    <dataValidation sqref="J29" showDropDown="0" showInputMessage="1" showErrorMessage="1" allowBlank="1" errorTitle="Pick from the list" error="Skill levels are 1 to 5." promptTitle="Exploration 3" prompt="Hector: Adrenaline Surge." type="list">
      <formula1>=Lists!$D$2:$D$6</formula1>
    </dataValidation>
    <dataValidation sqref="K29" showDropDown="0" showInputMessage="1" showErrorMessage="1" allowBlank="1" errorTitle="Pick from the list" error="Skill levels are 1 to 5." promptTitle="Expedition 1" prompt="Hector: Survival Instincts. First skill: the one that counts for Bear joining." type="list">
      <formula1>=Lists!$D$2:$D$6</formula1>
    </dataValidation>
    <dataValidation sqref="L29" showDropDown="0" showInputMessage="1" showErrorMessage="1" allowBlank="1" errorTitle="Pick from the list" error="Skill levels are 1 to 5." promptTitle="Expedition 2" prompt="Hector: Rampant." type="list">
      <formula1>=Lists!$D$2:$D$6</formula1>
    </dataValidation>
    <dataValidation sqref="M29" showDropDown="0" showInputMessage="1" showErrorMessage="1" allowBlank="1" errorTitle="Pick from the list" error="Skill levels are 1 to 5." promptTitle="Expedition 3" prompt="Hector: Blitz." type="list">
      <formula1>=Lists!$D$2:$D$6</formula1>
    </dataValidation>
    <dataValidation sqref="H30" showDropDown="0" showInputMessage="1" showErrorMessage="1" allowBlank="1" errorTitle="Pick from the list" error="Skill levels are 1 to 5." promptTitle="Exploration 1" prompt="Norah: Barrage." type="list">
      <formula1>=Lists!$D$2:$D$6</formula1>
    </dataValidation>
    <dataValidation sqref="I30" showDropDown="0" showInputMessage="1" showErrorMessage="1" allowBlank="1" errorTitle="Pick from the list" error="Skill levels are 1 to 5." promptTitle="Exploration 2" prompt="Norah: Flashbang." type="list">
      <formula1>=Lists!$D$2:$D$6</formula1>
    </dataValidation>
    <dataValidation sqref="J30" showDropDown="0" showInputMessage="1" showErrorMessage="1" allowBlank="1" errorTitle="Pick from the list" error="Skill levels are 1 to 5." promptTitle="Exploration 3" prompt="Norah: Valkyrie Cry." type="list">
      <formula1>=Lists!$D$2:$D$6</formula1>
    </dataValidation>
    <dataValidation sqref="K30" showDropDown="0" showInputMessage="1" showErrorMessage="1" allowBlank="1" errorTitle="Pick from the list" error="Skill levels are 1 to 5." promptTitle="Expedition 1" prompt="Norah: Combined Arms. First skill: the one that counts for Bear joining." type="list">
      <formula1>=Lists!$D$2:$D$6</formula1>
    </dataValidation>
    <dataValidation sqref="L30" showDropDown="0" showInputMessage="1" showErrorMessage="1" allowBlank="1" errorTitle="Pick from the list" error="Skill levels are 1 to 5." promptTitle="Expedition 2" prompt="Norah: Sneak Strike." type="list">
      <formula1>=Lists!$D$2:$D$6</formula1>
    </dataValidation>
    <dataValidation sqref="M30" showDropDown="0" showInputMessage="1" showErrorMessage="1" allowBlank="1" errorTitle="Pick from the list" error="Skill levels are 1 to 5." promptTitle="Expedition 3" prompt="Norah: Momentum." type="list">
      <formula1>=Lists!$D$2:$D$6</formula1>
    </dataValidation>
    <dataValidation sqref="H31" showDropDown="0" showInputMessage="1" showErrorMessage="1" allowBlank="1" errorTitle="Pick from the list" error="Skill levels are 1 to 5." promptTitle="Exploration 1" prompt="Renee: Illusion Cloud." type="list">
      <formula1>=Lists!$D$2:$D$6</formula1>
    </dataValidation>
    <dataValidation sqref="I31" showDropDown="0" showInputMessage="1" showErrorMessage="1" allowBlank="1" errorTitle="Pick from the list" error="Skill levels are 1 to 5." promptTitle="Exploration 2" prompt="Renee: Starpaint." type="list">
      <formula1>=Lists!$D$2:$D$6</formula1>
    </dataValidation>
    <dataValidation sqref="J31" showDropDown="0" showInputMessage="1" showErrorMessage="1" allowBlank="1" errorTitle="Pick from the list" error="Skill levels are 1 to 5." promptTitle="Exploration 3" prompt="Renee: Dream Vision." type="list">
      <formula1>=Lists!$D$2:$D$6</formula1>
    </dataValidation>
    <dataValidation sqref="K31" showDropDown="0" showInputMessage="1" showErrorMessage="1" allowBlank="1" errorTitle="Pick from the list" error="Skill levels are 1 to 5." promptTitle="Expedition 1" prompt="Renee: Nightmare Trace. First skill: the one that counts for Bear joining." type="list">
      <formula1>=Lists!$D$2:$D$6</formula1>
    </dataValidation>
    <dataValidation sqref="L31" showDropDown="0" showInputMessage="1" showErrorMessage="1" allowBlank="1" errorTitle="Pick from the list" error="Skill levels are 1 to 5." promptTitle="Expedition 2" prompt="Renee: Dreamcatcher." type="list">
      <formula1>=Lists!$D$2:$D$6</formula1>
    </dataValidation>
    <dataValidation sqref="M31" showDropDown="0" showInputMessage="1" showErrorMessage="1" allowBlank="1" errorTitle="Pick from the list" error="Skill levels are 1 to 5." promptTitle="Expedition 3" prompt="Renee: Dreamslice." type="list">
      <formula1>=Lists!$D$2:$D$6</formula1>
    </dataValidation>
    <dataValidation sqref="H32" showDropDown="0" showInputMessage="1" showErrorMessage="1" allowBlank="1" errorTitle="Pick from the list" error="Skill levels are 1 to 5." promptTitle="Exploration 1" prompt="Wayne: Hurricane Blowback." type="list">
      <formula1>=Lists!$D$2:$D$6</formula1>
    </dataValidation>
    <dataValidation sqref="I32" showDropDown="0" showInputMessage="1" showErrorMessage="1" allowBlank="1" errorTitle="Pick from the list" error="Skill levels are 1 to 5." promptTitle="Exploration 2" prompt="Wayne: Phantom Blitz." type="list">
      <formula1>=Lists!$D$2:$D$6</formula1>
    </dataValidation>
    <dataValidation sqref="J32" showDropDown="0" showInputMessage="1" showErrorMessage="1" allowBlank="1" errorTitle="Pick from the list" error="Skill levels are 1 to 5." promptTitle="Exploration 3" prompt="Wayne: Noon Time." type="list">
      <formula1>=Lists!$D$2:$D$6</formula1>
    </dataValidation>
    <dataValidation sqref="K32" showDropDown="0" showInputMessage="1" showErrorMessage="1" allowBlank="1" errorTitle="Pick from the list" error="Skill levels are 1 to 5." promptTitle="Expedition 1" prompt="Wayne: Thunder Strike. First skill: the one that counts for Bear joining." type="list">
      <formula1>=Lists!$D$2:$D$6</formula1>
    </dataValidation>
    <dataValidation sqref="L32" showDropDown="0" showInputMessage="1" showErrorMessage="1" allowBlank="1" errorTitle="Pick from the list" error="Skill levels are 1 to 5." promptTitle="Expedition 2" prompt="Wayne: Roundabout Hit." type="list">
      <formula1>=Lists!$D$2:$D$6</formula1>
    </dataValidation>
    <dataValidation sqref="M32" showDropDown="0" showInputMessage="1" showErrorMessage="1" allowBlank="1" errorTitle="Pick from the list" error="Skill levels are 1 to 5." promptTitle="Expedition 3" prompt="Wayne: Fleet." type="list">
      <formula1>=Lists!$D$2:$D$6</formula1>
    </dataValidation>
    <dataValidation sqref="H33" showDropDown="0" showInputMessage="1" showErrorMessage="1" allowBlank="1" errorTitle="Pick from the list" error="Skill levels are 1 to 5." promptTitle="Exploration 1" prompt="Wu Ming: Cyclone Barrier." type="list">
      <formula1>=Lists!$D$2:$D$6</formula1>
    </dataValidation>
    <dataValidation sqref="I33" showDropDown="0" showInputMessage="1" showErrorMessage="1" allowBlank="1" errorTitle="Pick from the list" error="Skill levels are 1 to 5." promptTitle="Exploration 2" prompt="Wu Ming: Inner Clarity." type="list">
      <formula1>=Lists!$D$2:$D$6</formula1>
    </dataValidation>
    <dataValidation sqref="J33" showDropDown="0" showInputMessage="1" showErrorMessage="1" allowBlank="1" errorTitle="Pick from the list" error="Skill levels are 1 to 5." promptTitle="Exploration 3" prompt="Wu Ming: Remote Impact." type="list">
      <formula1>=Lists!$D$2:$D$6</formula1>
    </dataValidation>
    <dataValidation sqref="K33" showDropDown="0" showInputMessage="1" showErrorMessage="1" allowBlank="1" errorTitle="Pick from the list" error="Skill levels are 1 to 5." promptTitle="Expedition 1" prompt="Wu Ming: Shadow's Evasion. First skill: the one that counts for Bear joining." type="list">
      <formula1>=Lists!$D$2:$D$6</formula1>
    </dataValidation>
    <dataValidation sqref="L33" showDropDown="0" showInputMessage="1" showErrorMessage="1" allowBlank="1" errorTitle="Pick from the list" error="Skill levels are 1 to 5." promptTitle="Expedition 2" prompt="Wu Ming: Crescent Uplift." type="list">
      <formula1>=Lists!$D$2:$D$6</formula1>
    </dataValidation>
    <dataValidation sqref="M33" showDropDown="0" showInputMessage="1" showErrorMessage="1" allowBlank="1" errorTitle="Pick from the list" error="Skill levels are 1 to 5." promptTitle="Expedition 3" prompt="Wu Ming: Elemental Resonance." type="list">
      <formula1>=Lists!$D$2:$D$6</formula1>
    </dataValidation>
    <dataValidation sqref="H34" showDropDown="0" showInputMessage="1" showErrorMessage="1" allowBlank="1" errorTitle="Pick from the list" error="Skill levels are 1 to 5." promptTitle="Exploration 1" prompt="Bradley: Destructor." type="list">
      <formula1>=Lists!$D$2:$D$6</formula1>
    </dataValidation>
    <dataValidation sqref="I34" showDropDown="0" showInputMessage="1" showErrorMessage="1" allowBlank="1" errorTitle="Pick from the list" error="Skill levels are 1 to 5." promptTitle="Exploration 2" prompt="Bradley: Incendiary Shell." type="list">
      <formula1>=Lists!$D$2:$D$6</formula1>
    </dataValidation>
    <dataValidation sqref="J34" showDropDown="0" showInputMessage="1" showErrorMessage="1" allowBlank="1" errorTitle="Pick from the list" error="Skill levels are 1 to 5." promptTitle="Exploration 3" prompt="Bradley: Audacious." type="list">
      <formula1>=Lists!$D$2:$D$6</formula1>
    </dataValidation>
    <dataValidation sqref="K34" showDropDown="0" showInputMessage="1" showErrorMessage="1" allowBlank="1" errorTitle="Pick from the list" error="Skill levels are 1 to 5." promptTitle="Expedition 1" prompt="Bradley: Veteran's Might. First skill: the one that counts for Bear joining." type="list">
      <formula1>=Lists!$D$2:$D$6</formula1>
    </dataValidation>
    <dataValidation sqref="L34" showDropDown="0" showInputMessage="1" showErrorMessage="1" allowBlank="1" errorTitle="Pick from the list" error="Skill levels are 1 to 5." promptTitle="Expedition 2" prompt="Bradley: Power Shot." type="list">
      <formula1>=Lists!$D$2:$D$6</formula1>
    </dataValidation>
    <dataValidation sqref="M34" showDropDown="0" showInputMessage="1" showErrorMessage="1" allowBlank="1" errorTitle="Pick from the list" error="Skill levels are 1 to 5." promptTitle="Expedition 3" prompt="Bradley: Tactical Assistance." type="list">
      <formula1>=Lists!$D$2:$D$6</formula1>
    </dataValidation>
    <dataValidation sqref="H35" showDropDown="0" showInputMessage="1" showErrorMessage="1" allowBlank="1" errorTitle="Pick from the list" error="Skill levels are 1 to 5." promptTitle="Exploration 1" prompt="Edith: Ironclad Punch." type="list">
      <formula1>=Lists!$D$2:$D$6</formula1>
    </dataValidation>
    <dataValidation sqref="I35" showDropDown="0" showInputMessage="1" showErrorMessage="1" allowBlank="1" errorTitle="Pick from the list" error="Skill levels are 1 to 5." promptTitle="Exploration 2" prompt="Edith: Escape Capsule." type="list">
      <formula1>=Lists!$D$2:$D$6</formula1>
    </dataValidation>
    <dataValidation sqref="J35" showDropDown="0" showInputMessage="1" showErrorMessage="1" allowBlank="1" errorTitle="Pick from the list" error="Skill levels are 1 to 5." promptTitle="Exploration 3" prompt="Edith: Preemptive Alerts." type="list">
      <formula1>=Lists!$D$2:$D$6</formula1>
    </dataValidation>
    <dataValidation sqref="K35" showDropDown="0" showInputMessage="1" showErrorMessage="1" allowBlank="1" errorTitle="Pick from the list" error="Skill levels are 1 to 5." promptTitle="Expedition 1" prompt="Edith: Strategic Balance. First skill: the one that counts for Bear joining." type="list">
      <formula1>=Lists!$D$2:$D$6</formula1>
    </dataValidation>
    <dataValidation sqref="L35" showDropDown="0" showInputMessage="1" showErrorMessage="1" allowBlank="1" errorTitle="Pick from the list" error="Skill levels are 1 to 5." promptTitle="Expedition 2" prompt="Edith: Ironclad." type="list">
      <formula1>=Lists!$D$2:$D$6</formula1>
    </dataValidation>
    <dataValidation sqref="M35" showDropDown="0" showInputMessage="1" showErrorMessage="1" allowBlank="1" errorTitle="Pick from the list" error="Skill levels are 1 to 5." promptTitle="Expedition 3" prompt="Edith: Steel Sentinel." type="list">
      <formula1>=Lists!$D$2:$D$6</formula1>
    </dataValidation>
    <dataValidation sqref="H36" showDropDown="0" showInputMessage="1" showErrorMessage="1" allowBlank="1" errorTitle="Pick from the list" error="Skill levels are 1 to 5." promptTitle="Exploration 1" prompt="Gordon: Poison Blast." type="list">
      <formula1>=Lists!$D$2:$D$6</formula1>
    </dataValidation>
    <dataValidation sqref="I36" showDropDown="0" showInputMessage="1" showErrorMessage="1" allowBlank="1" errorTitle="Pick from the list" error="Skill levels are 1 to 5." promptTitle="Exploration 2" prompt="Gordon: Toxic Molotov." type="list">
      <formula1>=Lists!$D$2:$D$6</formula1>
    </dataValidation>
    <dataValidation sqref="J36" showDropDown="0" showInputMessage="1" showErrorMessage="1" allowBlank="1" errorTitle="Pick from the list" error="Skill levels are 1 to 5." promptTitle="Exploration 3" prompt="Gordon: Tolerization." type="list">
      <formula1>=Lists!$D$2:$D$6</formula1>
    </dataValidation>
    <dataValidation sqref="K36" showDropDown="0" showInputMessage="1" showErrorMessage="1" allowBlank="1" errorTitle="Pick from the list" error="Skill levels are 1 to 5." promptTitle="Expedition 1" prompt="Gordon: Venom Infusion. First skill: the one that counts for Bear joining." type="list">
      <formula1>=Lists!$D$2:$D$6</formula1>
    </dataValidation>
    <dataValidation sqref="L36" showDropDown="0" showInputMessage="1" showErrorMessage="1" allowBlank="1" errorTitle="Pick from the list" error="Skill levels are 1 to 5." promptTitle="Expedition 2" prompt="Gordon: Chemical Terror." type="list">
      <formula1>=Lists!$D$2:$D$6</formula1>
    </dataValidation>
    <dataValidation sqref="M36" showDropDown="0" showInputMessage="1" showErrorMessage="1" allowBlank="1" errorTitle="Pick from the list" error="Skill levels are 1 to 5." promptTitle="Expedition 3" prompt="Gordon: Toxic Release." type="list">
      <formula1>=Lists!$D$2:$D$6</formula1>
    </dataValidation>
    <dataValidation sqref="H37" showDropDown="0" showInputMessage="1" showErrorMessage="1" allowBlank="1" errorTitle="Pick from the list" error="Skill levels are 1 to 5." promptTitle="Exploration 1" prompt="Gatot: King's Resolve." type="list">
      <formula1>=Lists!$D$2:$D$6</formula1>
    </dataValidation>
    <dataValidation sqref="I37" showDropDown="0" showInputMessage="1" showErrorMessage="1" allowBlank="1" errorTitle="Pick from the list" error="Skill levels are 1 to 5." promptTitle="Exploration 2" prompt="Gatot: Royal Authority." type="list">
      <formula1>=Lists!$D$2:$D$6</formula1>
    </dataValidation>
    <dataValidation sqref="J37" showDropDown="0" showInputMessage="1" showErrorMessage="1" allowBlank="1" errorTitle="Pick from the list" error="Skill levels are 1 to 5." promptTitle="Exploration 3" prompt="Gatot: Regal Dance." type="list">
      <formula1>=Lists!$D$2:$D$6</formula1>
    </dataValidation>
    <dataValidation sqref="K37" showDropDown="0" showInputMessage="1" showErrorMessage="1" allowBlank="1" errorTitle="Pick from the list" error="Skill levels are 1 to 5." promptTitle="Expedition 1" prompt="Gatot: Golden Guard. First skill: the one that counts for Bear joining." type="list">
      <formula1>=Lists!$D$2:$D$6</formula1>
    </dataValidation>
    <dataValidation sqref="L37" showDropDown="0" showInputMessage="1" showErrorMessage="1" allowBlank="1" errorTitle="Pick from the list" error="Skill levels are 1 to 5." promptTitle="Expedition 2" prompt="Gatot: King's Bestowal." type="list">
      <formula1>=Lists!$D$2:$D$6</formula1>
    </dataValidation>
    <dataValidation sqref="M37" showDropDown="0" showInputMessage="1" showErrorMessage="1" allowBlank="1" errorTitle="Pick from the list" error="Skill levels are 1 to 5." promptTitle="Expedition 3" prompt="Gatot: Royal Legion." type="list">
      <formula1>=Lists!$D$2:$D$6</formula1>
    </dataValidation>
    <dataValidation sqref="H38" showDropDown="0" showInputMessage="1" showErrorMessage="1" allowBlank="1" errorTitle="Pick from the list" error="Skill levels are 1 to 5." promptTitle="Exploration 1" prompt="Hendrik: Song of R'lyeh." type="list">
      <formula1>=Lists!$D$2:$D$6</formula1>
    </dataValidation>
    <dataValidation sqref="I38" showDropDown="0" showInputMessage="1" showErrorMessage="1" allowBlank="1" errorTitle="Pick from the list" error="Skill levels are 1 to 5." promptTitle="Exploration 2" prompt="Hendrik: Sinking Anchor." type="list">
      <formula1>=Lists!$D$2:$D$6</formula1>
    </dataValidation>
    <dataValidation sqref="J38" showDropDown="0" showInputMessage="1" showErrorMessage="1" allowBlank="1" errorTitle="Pick from the list" error="Skill levels are 1 to 5." promptTitle="Exploration 3" prompt="Hendrik: Lamprey's Kiss." type="list">
      <formula1>=Lists!$D$2:$D$6</formula1>
    </dataValidation>
    <dataValidation sqref="K38" showDropDown="0" showInputMessage="1" showErrorMessage="1" allowBlank="1" errorTitle="Pick from the list" error="Skill levels are 1 to 5." promptTitle="Expedition 1" prompt="Hendrik: Worm's Ravage. First skill: the one that counts for Bear joining." type="list">
      <formula1>=Lists!$D$2:$D$6</formula1>
    </dataValidation>
    <dataValidation sqref="L38" showDropDown="0" showInputMessage="1" showErrorMessage="1" allowBlank="1" errorTitle="Pick from the list" error="Skill levels are 1 to 5." promptTitle="Expedition 2" prompt="Hendrik: Armor of Barnacles." type="list">
      <formula1>=Lists!$D$2:$D$6</formula1>
    </dataValidation>
    <dataValidation sqref="M38" showDropDown="0" showInputMessage="1" showErrorMessage="1" allowBlank="1" errorTitle="Pick from the list" error="Skill levels are 1 to 5." promptTitle="Expedition 3" prompt="Hendrik: Dragon's Heir." type="list">
      <formula1>=Lists!$D$2:$D$6</formula1>
    </dataValidation>
    <dataValidation sqref="H39" showDropDown="0" showInputMessage="1" showErrorMessage="1" allowBlank="1" errorTitle="Pick from the list" error="Skill levels are 1 to 5." promptTitle="Exploration 1" prompt="Sonya: Extreme Cold." type="list">
      <formula1>=Lists!$D$2:$D$6</formula1>
    </dataValidation>
    <dataValidation sqref="I39" showDropDown="0" showInputMessage="1" showErrorMessage="1" allowBlank="1" errorTitle="Pick from the list" error="Skill levels are 1 to 5." promptTitle="Exploration 2" prompt="Sonya: Frozen Bomb." type="list">
      <formula1>=Lists!$D$2:$D$6</formula1>
    </dataValidation>
    <dataValidation sqref="J39" showDropDown="0" showInputMessage="1" showErrorMessage="1" allowBlank="1" errorTitle="Pick from the list" error="Skill levels are 1 to 5." promptTitle="Exploration 3" prompt="Sonya: Money-Hungry." type="list">
      <formula1>=Lists!$D$2:$D$6</formula1>
    </dataValidation>
    <dataValidation sqref="K39" showDropDown="0" showInputMessage="1" showErrorMessage="1" allowBlank="1" errorTitle="Pick from the list" error="Skill levels are 1 to 5." promptTitle="Expedition 1" prompt="Sonya: Treasure Hunter. First skill: the one that counts for Bear joining." type="list">
      <formula1>=Lists!$D$2:$D$6</formula1>
    </dataValidation>
    <dataValidation sqref="L39" showDropDown="0" showInputMessage="1" showErrorMessage="1" allowBlank="1" errorTitle="Pick from the list" error="Skill levels are 1 to 5." promptTitle="Expedition 2" prompt="Sonya: Bounty Temptation." type="list">
      <formula1>=Lists!$D$2:$D$6</formula1>
    </dataValidation>
    <dataValidation sqref="M39" showDropDown="0" showInputMessage="1" showErrorMessage="1" allowBlank="1" errorTitle="Pick from the list" error="Skill levels are 1 to 5." promptTitle="Expedition 3" prompt="Sonya: Torrential Impact." type="list">
      <formula1>=Lists!$D$2:$D$6</formula1>
    </dataValidation>
    <dataValidation sqref="H40" showDropDown="0" showInputMessage="1" showErrorMessage="1" allowBlank="1" errorTitle="Pick from the list" error="Skill levels are 1 to 5." promptTitle="Exploration 1" prompt="Fred: Acid Rain." type="list">
      <formula1>=Lists!$D$2:$D$6</formula1>
    </dataValidation>
    <dataValidation sqref="I40" showDropDown="0" showInputMessage="1" showErrorMessage="1" allowBlank="1" errorTitle="Pick from the list" error="Skill levels are 1 to 5." promptTitle="Exploration 2" prompt="Fred: Water Cannon." type="list">
      <formula1>=Lists!$D$2:$D$6</formula1>
    </dataValidation>
    <dataValidation sqref="J40" showDropDown="0" showInputMessage="1" showErrorMessage="1" allowBlank="1" errorTitle="Pick from the list" error="Skill levels are 1 to 5." promptTitle="Exploration 3" prompt="Fred: Perfect Responder." type="list">
      <formula1>=Lists!$D$2:$D$6</formula1>
    </dataValidation>
    <dataValidation sqref="K40" showDropDown="0" showInputMessage="1" showErrorMessage="1" allowBlank="1" errorTitle="Pick from the list" error="Skill levels are 1 to 5." promptTitle="Expedition 1" prompt="Fred: Hydraulic Suppression. First skill: the one that counts for Bear joining." type="list">
      <formula1>=Lists!$D$2:$D$6</formula1>
    </dataValidation>
    <dataValidation sqref="L40" showDropDown="0" showInputMessage="1" showErrorMessage="1" allowBlank="1" errorTitle="Pick from the list" error="Skill levels are 1 to 5." promptTitle="Expedition 2" prompt="Fred: Acidification." type="list">
      <formula1>=Lists!$D$2:$D$6</formula1>
    </dataValidation>
    <dataValidation sqref="M40" showDropDown="0" showInputMessage="1" showErrorMessage="1" allowBlank="1" errorTitle="Pick from the list" error="Skill levels are 1 to 5." promptTitle="Expedition 3" prompt="Fred: Floodbringer." type="list">
      <formula1>=Lists!$D$2:$D$6</formula1>
    </dataValidation>
    <dataValidation sqref="H41" showDropDown="0" showInputMessage="1" showErrorMessage="1" allowBlank="1" errorTitle="Pick from the list" error="Skill levels are 1 to 5." promptTitle="Exploration 1" prompt="Magnus: Frozen Fury." type="list">
      <formula1>=Lists!$D$2:$D$6</formula1>
    </dataValidation>
    <dataValidation sqref="I41" showDropDown="0" showInputMessage="1" showErrorMessage="1" allowBlank="1" errorTitle="Pick from the list" error="Skill levels are 1 to 5." promptTitle="Exploration 2" prompt="Magnus: Wind Tomahawk." type="list">
      <formula1>=Lists!$D$2:$D$6</formula1>
    </dataValidation>
    <dataValidation sqref="J41" showDropDown="0" showInputMessage="1" showErrorMessage="1" allowBlank="1" errorTitle="Pick from the list" error="Skill levels are 1 to 5." promptTitle="Exploration 3" prompt="Magnus: Sunderer." type="list">
      <formula1>=Lists!$D$2:$D$6</formula1>
    </dataValidation>
    <dataValidation sqref="K41" showDropDown="0" showInputMessage="1" showErrorMessage="1" allowBlank="1" errorTitle="Pick from the list" error="Skill levels are 1 to 5." promptTitle="Expedition 1" prompt="Magnus: Rapacious. First skill: the one that counts for Bear joining." type="list">
      <formula1>=Lists!$D$2:$D$6</formula1>
    </dataValidation>
    <dataValidation sqref="L41" showDropDown="0" showInputMessage="1" showErrorMessage="1" allowBlank="1" errorTitle="Pick from the list" error="Skill levels are 1 to 5." promptTitle="Expedition 2" prompt="Magnus: Iron Phalanx." type="list">
      <formula1>=Lists!$D$2:$D$6</formula1>
    </dataValidation>
    <dataValidation sqref="M41" showDropDown="0" showInputMessage="1" showErrorMessage="1" allowBlank="1" errorTitle="Pick from the list" error="Skill levels are 1 to 5." promptTitle="Expedition 3" prompt="Magnus: Iceman." type="list">
      <formula1>=Lists!$D$2:$D$6</formula1>
    </dataValidation>
    <dataValidation sqref="H42" showDropDown="0" showInputMessage="1" showErrorMessage="1" allowBlank="1" errorTitle="Pick from the list" error="Skill levels are 1 to 5." promptTitle="Exploration 1" prompt="Xura: Life Dance." type="list">
      <formula1>=Lists!$D$2:$D$6</formula1>
    </dataValidation>
    <dataValidation sqref="I42" showDropDown="0" showInputMessage="1" showErrorMessage="1" allowBlank="1" errorTitle="Pick from the list" error="Skill levels are 1 to 5." promptTitle="Exploration 2" prompt="Xura: Sporebind." type="list">
      <formula1>=Lists!$D$2:$D$6</formula1>
    </dataValidation>
    <dataValidation sqref="J42" showDropDown="0" showInputMessage="1" showErrorMessage="1" allowBlank="1" errorTitle="Pick from the list" error="Skill levels are 1 to 5." promptTitle="Exploration 3" prompt="Xura: Numbing Dart." type="list">
      <formula1>=Lists!$D$2:$D$6</formula1>
    </dataValidation>
    <dataValidation sqref="K42" showDropDown="0" showInputMessage="1" showErrorMessage="1" allowBlank="1" errorTitle="Pick from the list" error="Skill levels are 1 to 5." promptTitle="Expedition 1" prompt="Xura: Fungal Fog. First skill: the one that counts for Bear joining." type="list">
      <formula1>=Lists!$D$2:$D$6</formula1>
    </dataValidation>
    <dataValidation sqref="L42" showDropDown="0" showInputMessage="1" showErrorMessage="1" allowBlank="1" errorTitle="Pick from the list" error="Skill levels are 1 to 5." promptTitle="Expedition 2" prompt="Xura: Piercing Arrow." type="list">
      <formula1>=Lists!$D$2:$D$6</formula1>
    </dataValidation>
    <dataValidation sqref="M42" showDropDown="0" showInputMessage="1" showErrorMessage="1" allowBlank="1" errorTitle="Pick from the list" error="Skill levels are 1 to 5." promptTitle="Expedition 3" prompt="Xura: Unorthodoxy." type="list">
      <formula1>=Lists!$D$2:$D$6</formula1>
    </dataValidation>
    <dataValidation sqref="H43" showDropDown="0" showInputMessage="1" showErrorMessage="1" allowBlank="1" errorTitle="Pick from the list" error="Skill levels are 1 to 5." promptTitle="Exploration 1" prompt="Blanchette: Triple Blunderbuss." type="list">
      <formula1>=Lists!$D$2:$D$6</formula1>
    </dataValidation>
    <dataValidation sqref="I43" showDropDown="0" showInputMessage="1" showErrorMessage="1" allowBlank="1" errorTitle="Pick from the list" error="Skill levels are 1 to 5." promptTitle="Exploration 2" prompt="Blanchette: Scattershot." type="list">
      <formula1>=Lists!$D$2:$D$6</formula1>
    </dataValidation>
    <dataValidation sqref="J43" showDropDown="0" showInputMessage="1" showErrorMessage="1" allowBlank="1" errorTitle="Pick from the list" error="Skill levels are 1 to 5." promptTitle="Exploration 3" prompt="Blanchette: Red Pursuit." type="list">
      <formula1>=Lists!$D$2:$D$6</formula1>
    </dataValidation>
    <dataValidation sqref="K43" showDropDown="0" showInputMessage="1" showErrorMessage="1" allowBlank="1" errorTitle="Pick from the list" error="Skill levels are 1 to 5." promptTitle="Expedition 1" prompt="Blanchette: Armed to the Teeth. First skill: the one that counts for Bear joining." type="list">
      <formula1>=Lists!$D$2:$D$6</formula1>
    </dataValidation>
    <dataValidation sqref="L43" showDropDown="0" showInputMessage="1" showErrorMessage="1" allowBlank="1" errorTitle="Pick from the list" error="Skill levels are 1 to 5." promptTitle="Expedition 2" prompt="Blanchette: Blood Hunter." type="list">
      <formula1>=Lists!$D$2:$D$6</formula1>
    </dataValidation>
    <dataValidation sqref="M43" showDropDown="0" showInputMessage="1" showErrorMessage="1" allowBlank="1" errorTitle="Pick from the list" error="Skill levels are 1 to 5." promptTitle="Expedition 3" prompt="Blanchette: Crimson Sniper." type="list">
      <formula1>=Lists!$D$2:$D$6</formula1>
    </dataValidation>
    <dataValidation sqref="H44" showDropDown="0" showInputMessage="1" showErrorMessage="1" allowBlank="1" errorTitle="Pick from the list" error="Skill levels are 1 to 5." promptTitle="Exploration 1" prompt="Freya: Chain Sunder." type="list">
      <formula1>=Lists!$D$2:$D$6</formula1>
    </dataValidation>
    <dataValidation sqref="I44" showDropDown="0" showInputMessage="1" showErrorMessage="1" allowBlank="1" errorTitle="Pick from the list" error="Skill levels are 1 to 5." promptTitle="Exploration 2" prompt="Freya: Prickled Bind." type="list">
      <formula1>=Lists!$D$2:$D$6</formula1>
    </dataValidation>
    <dataValidation sqref="J44" showDropDown="0" showInputMessage="1" showErrorMessage="1" allowBlank="1" errorTitle="Pick from the list" error="Skill levels are 1 to 5." promptTitle="Exploration 3" prompt="Freya: Crystal Fury." type="list">
      <formula1>=Lists!$D$2:$D$6</formula1>
    </dataValidation>
    <dataValidation sqref="K44" showDropDown="0" showInputMessage="1" showErrorMessage="1" allowBlank="1" errorTitle="Pick from the list" error="Skill levels are 1 to 5." promptTitle="Expedition 1" prompt="Freya: Fog of War. First skill: the one that counts for Bear joining." type="list">
      <formula1>=Lists!$D$2:$D$6</formula1>
    </dataValidation>
    <dataValidation sqref="L44" showDropDown="0" showInputMessage="1" showErrorMessage="1" allowBlank="1" errorTitle="Pick from the list" error="Skill levels are 1 to 5." promptTitle="Expedition 2" prompt="Freya: Blood Moon Scythe." type="list">
      <formula1>=Lists!$D$2:$D$6</formula1>
    </dataValidation>
    <dataValidation sqref="M44" showDropDown="0" showInputMessage="1" showErrorMessage="1" allowBlank="1" errorTitle="Pick from the list" error="Skill levels are 1 to 5." promptTitle="Expedition 3" prompt="Freya: Night's Vengeance." type="list">
      <formula1>=Lists!$D$2:$D$6</formula1>
    </dataValidation>
    <dataValidation sqref="H45" showDropDown="0" showInputMessage="1" showErrorMessage="1" allowBlank="1" errorTitle="Pick from the list" error="Skill levels are 1 to 5." promptTitle="Exploration 1" prompt="Gregory: Sword of the Mountain." type="list">
      <formula1>=Lists!$D$2:$D$6</formula1>
    </dataValidation>
    <dataValidation sqref="I45" showDropDown="0" showInputMessage="1" showErrorMessage="1" allowBlank="1" errorTitle="Pick from the list" error="Skill levels are 1 to 5." promptTitle="Exploration 2" prompt="Gregory: Parryshield." type="list">
      <formula1>=Lists!$D$2:$D$6</formula1>
    </dataValidation>
    <dataValidation sqref="J45" showDropDown="0" showInputMessage="1" showErrorMessage="1" allowBlank="1" errorTitle="Pick from the list" error="Skill levels are 1 to 5." promptTitle="Exploration 3" prompt="Gregory: Sacrificial Will." type="list">
      <formula1>=Lists!$D$2:$D$6</formula1>
    </dataValidation>
    <dataValidation sqref="K45" showDropDown="0" showInputMessage="1" showErrorMessage="1" allowBlank="1" errorTitle="Pick from the list" error="Skill levels are 1 to 5." promptTitle="Expedition 1" prompt="Gregory: Legion of the Sun. First skill: the one that counts for Bear joining." type="list">
      <formula1>=Lists!$D$2:$D$6</formula1>
    </dataValidation>
    <dataValidation sqref="L45" showDropDown="0" showInputMessage="1" showErrorMessage="1" allowBlank="1" errorTitle="Pick from the list" error="Skill levels are 1 to 5." promptTitle="Expedition 2" prompt="Gregory: Charged Assault." type="list">
      <formula1>=Lists!$D$2:$D$6</formula1>
    </dataValidation>
    <dataValidation sqref="M45" showDropDown="0" showInputMessage="1" showErrorMessage="1" allowBlank="1" errorTitle="Pick from the list" error="Skill levels are 1 to 5." promptTitle="Expedition 3" prompt="Gregory: Unbroken." type="list">
      <formula1>=Lists!$D$2:$D$6</formula1>
    </dataValidation>
    <dataValidation sqref="H46" showDropDown="0" showInputMessage="1" showErrorMessage="1" allowBlank="1" errorTitle="Pick from the list" error="Skill levels are 1 to 5." promptTitle="Exploration 1" prompt="Eleonora: Shield of Blaze." type="list">
      <formula1>=Lists!$D$2:$D$6</formula1>
    </dataValidation>
    <dataValidation sqref="I46" showDropDown="0" showInputMessage="1" showErrorMessage="1" allowBlank="1" errorTitle="Pick from the list" error="Skill levels are 1 to 5." promptTitle="Exploration 2" prompt="Eleonora: Regal Sanction." type="list">
      <formula1>=Lists!$D$2:$D$6</formula1>
    </dataValidation>
    <dataValidation sqref="J46" showDropDown="0" showInputMessage="1" showErrorMessage="1" allowBlank="1" errorTitle="Pick from the list" error="Skill levels are 1 to 5." promptTitle="Exploration 3" prompt="Eleonora: Majestic Corona." type="list">
      <formula1>=Lists!$D$2:$D$6</formula1>
    </dataValidation>
    <dataValidation sqref="K46" showDropDown="0" showInputMessage="1" showErrorMessage="1" allowBlank="1" errorTitle="Pick from the list" error="Skill levels are 1 to 5." promptTitle="Expedition 1" prompt="Eleonora: Scorching Sun. First skill: the one that counts for Bear joining." type="list">
      <formula1>=Lists!$D$2:$D$6</formula1>
    </dataValidation>
    <dataValidation sqref="L46" showDropDown="0" showInputMessage="1" showErrorMessage="1" allowBlank="1" errorTitle="Pick from the list" error="Skill levels are 1 to 5." promptTitle="Expedition 2" prompt="Eleonora: Solaris Nexus." type="list">
      <formula1>=Lists!$D$2:$D$6</formula1>
    </dataValidation>
    <dataValidation sqref="M46" showDropDown="0" showInputMessage="1" showErrorMessage="1" allowBlank="1" errorTitle="Pick from the list" error="Skill levels are 1 to 5." promptTitle="Expedition 3" prompt="Eleonora: Soaring Flame." type="list">
      <formula1>=Lists!$D$2:$D$6</formula1>
    </dataValidation>
    <dataValidation sqref="H47" showDropDown="0" showInputMessage="1" showErrorMessage="1" allowBlank="1" errorTitle="Pick from the list" error="Skill levels are 1 to 5." promptTitle="Exploration 1" prompt="Lloyd: Rapid Bombardment." type="list">
      <formula1>=Lists!$D$2:$D$6</formula1>
    </dataValidation>
    <dataValidation sqref="I47" showDropDown="0" showInputMessage="1" showErrorMessage="1" allowBlank="1" errorTitle="Pick from the list" error="Skill levels are 1 to 5." promptTitle="Exploration 2" prompt="Lloyd: Weakness Focus." type="list">
      <formula1>=Lists!$D$2:$D$6</formula1>
    </dataValidation>
    <dataValidation sqref="J47" showDropDown="0" showInputMessage="1" showErrorMessage="1" allowBlank="1" errorTitle="Pick from the list" error="Skill levels are 1 to 5." promptTitle="Exploration 3" prompt="Lloyd: Practiced Perfection." type="list">
      <formula1>=Lists!$D$2:$D$6</formula1>
    </dataValidation>
    <dataValidation sqref="K47" showDropDown="0" showInputMessage="1" showErrorMessage="1" allowBlank="1" errorTitle="Pick from the list" error="Skill levels are 1 to 5." promptTitle="Expedition 1" prompt="Lloyd: Bird Invasion. First skill: the one that counts for Bear joining." type="list">
      <formula1>=Lists!$D$2:$D$6</formula1>
    </dataValidation>
    <dataValidation sqref="L47" showDropDown="0" showInputMessage="1" showErrorMessage="1" allowBlank="1" errorTitle="Pick from the list" error="Skill levels are 1 to 5." promptTitle="Expedition 2" prompt="Lloyd: Iceflare Bomb." type="list">
      <formula1>=Lists!$D$2:$D$6</formula1>
    </dataValidation>
    <dataValidation sqref="M47" showDropDown="0" showInputMessage="1" showErrorMessage="1" allowBlank="1" errorTitle="Pick from the list" error="Skill levels are 1 to 5." promptTitle="Expedition 3" prompt="Lloyd: Ingenious Mastery." type="list">
      <formula1>=Lists!$D$2:$D$6</formula1>
    </dataValidation>
    <dataValidation sqref="H48" showDropDown="0" showInputMessage="1" showErrorMessage="1" allowBlank="1" errorTitle="Pick from the list" error="Skill levels are 1 to 5." promptTitle="Exploration 1" prompt="Rufus: Starfall Impact." type="list">
      <formula1>=Lists!$D$2:$D$6</formula1>
    </dataValidation>
    <dataValidation sqref="I48" showDropDown="0" showInputMessage="1" showErrorMessage="1" allowBlank="1" errorTitle="Pick from the list" error="Skill levels are 1 to 5." promptTitle="Exploration 2" prompt="Rufus: Splinter Blast." type="list">
      <formula1>=Lists!$D$2:$D$6</formula1>
    </dataValidation>
    <dataValidation sqref="J48" showDropDown="0" showInputMessage="1" showErrorMessage="1" allowBlank="1" errorTitle="Pick from the list" error="Skill levels are 1 to 5." promptTitle="Exploration 3" prompt="Rufus: Raging Fury." type="list">
      <formula1>=Lists!$D$2:$D$6</formula1>
    </dataValidation>
    <dataValidation sqref="K48" showDropDown="0" showInputMessage="1" showErrorMessage="1" allowBlank="1" errorTitle="Pick from the list" error="Skill levels are 1 to 5." promptTitle="Expedition 1" prompt="Rufus: Inferno Regiment. First skill: the one that counts for Bear joining." type="list">
      <formula1>=Lists!$D$2:$D$6</formula1>
    </dataValidation>
    <dataValidation sqref="L48" showDropDown="0" showInputMessage="1" showErrorMessage="1" allowBlank="1" errorTitle="Pick from the list" error="Skill levels are 1 to 5." promptTitle="Expedition 2" prompt="Rufus: Armor Crush." type="list">
      <formula1>=Lists!$D$2:$D$6</formula1>
    </dataValidation>
    <dataValidation sqref="M48" showDropDown="0" showInputMessage="1" showErrorMessage="1" allowBlank="1" errorTitle="Pick from the list" error="Skill levels are 1 to 5." promptTitle="Expedition 3" prompt="Rufus: Wrathful Quake." type="list">
      <formula1>=Lists!$D$2:$D$6</formula1>
    </dataValidation>
    <dataValidation sqref="H49" showDropDown="0" showInputMessage="1" showErrorMessage="1" allowBlank="1" errorTitle="Pick from the list" error="Skill levels are 1 to 5." promptTitle="Exploration 1" prompt="Hervor: Earthmover." type="list">
      <formula1>=Lists!$D$2:$D$6</formula1>
    </dataValidation>
    <dataValidation sqref="I49" showDropDown="0" showInputMessage="1" showErrorMessage="1" allowBlank="1" errorTitle="Pick from the list" error="Skill levels are 1 to 5." promptTitle="Exploration 2" prompt="Hervor: Mountain Strength." type="list">
      <formula1>=Lists!$D$2:$D$6</formula1>
    </dataValidation>
    <dataValidation sqref="J49" showDropDown="0" showInputMessage="1" showErrorMessage="1" allowBlank="1" errorTitle="Pick from the list" error="Skill levels are 1 to 5." promptTitle="Exploration 3" prompt="Hervor: Stone Arms." type="list">
      <formula1>=Lists!$D$2:$D$6</formula1>
    </dataValidation>
    <dataValidation sqref="K49" showDropDown="0" showInputMessage="1" showErrorMessage="1" allowBlank="1" errorTitle="Pick from the list" error="Skill levels are 1 to 5." promptTitle="Expedition 1" prompt="Hervor: Call For Blood. First skill: the one that counts for Bear joining." type="list">
      <formula1>=Lists!$D$2:$D$6</formula1>
    </dataValidation>
    <dataValidation sqref="L49" showDropDown="0" showInputMessage="1" showErrorMessage="1" allowBlank="1" errorTitle="Pick from the list" error="Skill levels are 1 to 5." promptTitle="Expedition 2" prompt="Hervor: Undying." type="list">
      <formula1>=Lists!$D$2:$D$6</formula1>
    </dataValidation>
    <dataValidation sqref="M49" showDropDown="0" showInputMessage="1" showErrorMessage="1" allowBlank="1" errorTitle="Pick from the list" error="Skill levels are 1 to 5." promptTitle="Expedition 3" prompt="Hervor: Battlethirsty." type="list">
      <formula1>=Lists!$D$2:$D$6</formula1>
    </dataValidation>
    <dataValidation sqref="H50" showDropDown="0" showInputMessage="1" showErrorMessage="1" allowBlank="1" errorTitle="Pick from the list" error="Skill levels are 1 to 5." promptTitle="Exploration 1" prompt="Karol: Dawn Charge." type="list">
      <formula1>=Lists!$D$2:$D$6</formula1>
    </dataValidation>
    <dataValidation sqref="I50" showDropDown="0" showInputMessage="1" showErrorMessage="1" allowBlank="1" errorTitle="Pick from the list" error="Skill levels are 1 to 5." promptTitle="Exploration 2" prompt="Karol: Bristling Strike." type="list">
      <formula1>=Lists!$D$2:$D$6</formula1>
    </dataValidation>
    <dataValidation sqref="J50" showDropDown="0" showInputMessage="1" showErrorMessage="1" allowBlank="1" errorTitle="Pick from the list" error="Skill levels are 1 to 5." promptTitle="Exploration 3" prompt="Karol: Soaring Victory." type="list">
      <formula1>=Lists!$D$2:$D$6</formula1>
    </dataValidation>
    <dataValidation sqref="K50" showDropDown="0" showInputMessage="1" showErrorMessage="1" allowBlank="1" errorTitle="Pick from the list" error="Skill levels are 1 to 5." promptTitle="Expedition 1" prompt="Karol: In the Wings. First skill: the one that counts for Bear joining." type="list">
      <formula1>=Lists!$D$2:$D$6</formula1>
    </dataValidation>
    <dataValidation sqref="L50" showDropDown="0" showInputMessage="1" showErrorMessage="1" allowBlank="1" errorTitle="Pick from the list" error="Skill levels are 1 to 5." promptTitle="Expedition 2" prompt="Karol: Shieldbreaker." type="list">
      <formula1>=Lists!$D$2:$D$6</formula1>
    </dataValidation>
    <dataValidation sqref="M50" showDropDown="0" showInputMessage="1" showErrorMessage="1" allowBlank="1" errorTitle="Pick from the list" error="Skill levels are 1 to 5." promptTitle="Expedition 3" prompt="Karol: Standard of Ages." type="list">
      <formula1>=Lists!$D$2:$D$6</formula1>
    </dataValidation>
    <dataValidation sqref="H51" showDropDown="0" showInputMessage="1" showErrorMessage="1" allowBlank="1" errorTitle="Pick from the list" error="Skill levels are 1 to 5." promptTitle="Exploration 1" prompt="Ligeia: Acid Reflex." type="list">
      <formula1>=Lists!$D$2:$D$6</formula1>
    </dataValidation>
    <dataValidation sqref="I51" showDropDown="0" showInputMessage="1" showErrorMessage="1" allowBlank="1" errorTitle="Pick from the list" error="Skill levels are 1 to 5." promptTitle="Exploration 2" prompt="Ligeia: Spider Madam." type="list">
      <formula1>=Lists!$D$2:$D$6</formula1>
    </dataValidation>
    <dataValidation sqref="J51" showDropDown="0" showInputMessage="1" showErrorMessage="1" allowBlank="1" errorTitle="Pick from the list" error="Skill levels are 1 to 5." promptTitle="Exploration 3" prompt="Ligeia: Mechanical Teeth." type="list">
      <formula1>=Lists!$D$2:$D$6</formula1>
    </dataValidation>
    <dataValidation sqref="K51" showDropDown="0" showInputMessage="1" showErrorMessage="1" allowBlank="1" errorTitle="Pick from the list" error="Skill levels are 1 to 5." promptTitle="Expedition 1" prompt="Ligeia: Nerf Poison. First skill: the one that counts for Bear joining." type="list">
      <formula1>=Lists!$D$2:$D$6</formula1>
    </dataValidation>
    <dataValidation sqref="L51" showDropDown="0" showInputMessage="1" showErrorMessage="1" allowBlank="1" errorTitle="Pick from the list" error="Skill levels are 1 to 5." promptTitle="Expedition 2" prompt="Ligeia: Corrosion." type="list">
      <formula1>=Lists!$D$2:$D$6</formula1>
    </dataValidation>
    <dataValidation sqref="M51" showDropDown="0" showInputMessage="1" showErrorMessage="1" allowBlank="1" errorTitle="Pick from the list" error="Skill levels are 1 to 5." promptTitle="Expedition 3" prompt="Ligeia: Toxic Tip." type="list">
      <formula1>=Lists!$D$2:$D$6</formula1>
    </dataValidation>
    <dataValidation sqref="H52" showDropDown="0" showInputMessage="1" showErrorMessage="1" allowBlank="1" errorTitle="Pick from the list" error="Skill levels are 1 to 5." promptTitle="Exploration 1" prompt="Flora: Envelopment." type="list">
      <formula1>=Lists!$D$2:$D$6</formula1>
    </dataValidation>
    <dataValidation sqref="I52" showDropDown="0" showInputMessage="1" showErrorMessage="1" allowBlank="1" errorTitle="Pick from the list" error="Skill levels are 1 to 5." promptTitle="Exploration 2" prompt="Flora: Rosebloom." type="list">
      <formula1>=Lists!$D$2:$D$6</formula1>
    </dataValidation>
    <dataValidation sqref="J52" showDropDown="0" showInputMessage="1" showErrorMessage="1" allowBlank="1" errorTitle="Pick from the list" error="Skill levels are 1 to 5." promptTitle="Exploration 3" prompt="Flora: Nature's Strength." type="list">
      <formula1>=Lists!$D$2:$D$6</formula1>
    </dataValidation>
    <dataValidation sqref="K52" showDropDown="0" showInputMessage="1" showErrorMessage="1" allowBlank="1" errorTitle="Pick from the list" error="Skill levels are 1 to 5." promptTitle="Expedition 1" prompt="Flora: Enmiring Vines. First skill: the one that counts for Bear joining." type="list">
      <formula1>=Lists!$D$2:$D$6</formula1>
    </dataValidation>
    <dataValidation sqref="L52" showDropDown="0" showInputMessage="1" showErrorMessage="1" allowBlank="1" errorTitle="Pick from the list" error="Skill levels are 1 to 5." promptTitle="Expedition 2" prompt="Flora: Plantage." type="list">
      <formula1>=Lists!$D$2:$D$6</formula1>
    </dataValidation>
    <dataValidation sqref="M52" showDropDown="0" showInputMessage="1" showErrorMessage="1" allowBlank="1" errorTitle="Pick from the list" error="Skill levels are 1 to 5." promptTitle="Expedition 3" prompt="Flora: Confusion Pollen." type="list">
      <formula1>=Lists!$D$2:$D$6</formula1>
    </dataValidation>
    <dataValidation sqref="H53" showDropDown="0" showInputMessage="1" showErrorMessage="1" allowBlank="1" errorTitle="Pick from the list" error="Skill levels are 1 to 5." promptTitle="Exploration 1" prompt="Gisela: Superload." type="list">
      <formula1>=Lists!$D$2:$D$6</formula1>
    </dataValidation>
    <dataValidation sqref="I53" showDropDown="0" showInputMessage="1" showErrorMessage="1" allowBlank="1" errorTitle="Pick from the list" error="Skill levels are 1 to 5." promptTitle="Exploration 2" prompt="Gisela: Steel Hammer." type="list">
      <formula1>=Lists!$D$2:$D$6</formula1>
    </dataValidation>
    <dataValidation sqref="J53" showDropDown="0" showInputMessage="1" showErrorMessage="1" allowBlank="1" errorTitle="Pick from the list" error="Skill levels are 1 to 5." promptTitle="Exploration 3" prompt="Gisela: Porta-Shield." type="list">
      <formula1>=Lists!$D$2:$D$6</formula1>
    </dataValidation>
    <dataValidation sqref="K53" showDropDown="0" showInputMessage="1" showErrorMessage="1" allowBlank="1" errorTitle="Pick from the list" error="Skill levels are 1 to 5." promptTitle="Expedition 1" prompt="Gisela: Alloyed Defense. First skill: the one that counts for Bear joining." type="list">
      <formula1>=Lists!$D$2:$D$6</formula1>
    </dataValidation>
    <dataValidation sqref="L53" showDropDown="0" showInputMessage="1" showErrorMessage="1" allowBlank="1" errorTitle="Pick from the list" error="Skill levels are 1 to 5." promptTitle="Expedition 2" prompt="Gisela: Scavengeworks." type="list">
      <formula1>=Lists!$D$2:$D$6</formula1>
    </dataValidation>
    <dataValidation sqref="M53" showDropDown="0" showInputMessage="1" showErrorMessage="1" allowBlank="1" errorTitle="Pick from the list" error="Skill levels are 1 to 5." promptTitle="Expedition 3" prompt="Gisela: Trial Shield." type="list">
      <formula1>=Lists!$D$2:$D$6</formula1>
    </dataValidation>
    <dataValidation sqref="H54" showDropDown="0" showInputMessage="1" showErrorMessage="1" allowBlank="1" errorTitle="Pick from the list" error="Skill levels are 1 to 5." promptTitle="Exploration 1" prompt="Vulcanus: Siege Bolts." type="list">
      <formula1>=Lists!$D$2:$D$6</formula1>
    </dataValidation>
    <dataValidation sqref="I54" showDropDown="0" showInputMessage="1" showErrorMessage="1" allowBlank="1" errorTitle="Pick from the list" error="Skill levels are 1 to 5." promptTitle="Exploration 2" prompt="Vulcanus: Chainlinked." type="list">
      <formula1>=Lists!$D$2:$D$6</formula1>
    </dataValidation>
    <dataValidation sqref="J54" showDropDown="0" showInputMessage="1" showErrorMessage="1" allowBlank="1" errorTitle="Pick from the list" error="Skill levels are 1 to 5." promptTitle="Exploration 3" prompt="Vulcanus: Fire of Hope." type="list">
      <formula1>=Lists!$D$2:$D$6</formula1>
    </dataValidation>
    <dataValidation sqref="K54" showDropDown="0" showInputMessage="1" showErrorMessage="1" allowBlank="1" errorTitle="Pick from the list" error="Skill levels are 1 to 5." promptTitle="Expedition 1" prompt="Vulcanus: Raging Storm. First skill: the one that counts for Bear joining." type="list">
      <formula1>=Lists!$D$2:$D$6</formula1>
    </dataValidation>
    <dataValidation sqref="L54" showDropDown="0" showInputMessage="1" showErrorMessage="1" allowBlank="1" errorTitle="Pick from the list" error="Skill levels are 1 to 5." promptTitle="Expedition 2" prompt="Vulcanus: Breaker Steel." type="list">
      <formula1>=Lists!$D$2:$D$6</formula1>
    </dataValidation>
    <dataValidation sqref="M54" showDropDown="0" showInputMessage="1" showErrorMessage="1" allowBlank="1" errorTitle="Pick from the list" error="Skill levels are 1 to 5." promptTitle="Expedition 3" prompt="Vulcanus: True Strike." type="list">
      <formula1>=Lists!$D$2:$D$6</formula1>
    </dataValidation>
    <dataValidation sqref="H55" showDropDown="0" showInputMessage="1" showErrorMessage="1" allowBlank="1" errorTitle="Pick from the list" error="Skill levels are 1 to 5." promptTitle="Exploration 1" prompt="Cara: Arcane Blast." type="list">
      <formula1>=Lists!$D$2:$D$6</formula1>
    </dataValidation>
    <dataValidation sqref="I55" showDropDown="0" showInputMessage="1" showErrorMessage="1" allowBlank="1" errorTitle="Pick from the list" error="Skill levels are 1 to 5." promptTitle="Exploration 2" prompt="Cara: Gloomy Mist." type="list">
      <formula1>=Lists!$D$2:$D$6</formula1>
    </dataValidation>
    <dataValidation sqref="J55" showDropDown="0" showInputMessage="1" showErrorMessage="1" allowBlank="1" errorTitle="Pick from the list" error="Skill levels are 1 to 5." promptTitle="Exploration 3" prompt="Cara: Heartfelt Friendship." type="list">
      <formula1>=Lists!$D$2:$D$6</formula1>
    </dataValidation>
    <dataValidation sqref="K55" showDropDown="0" showInputMessage="1" showErrorMessage="1" allowBlank="1" errorTitle="Pick from the list" error="Skill levels are 1 to 5." promptTitle="Expedition 1" prompt="Cara: Smoky Encounter. First skill: the one that counts for Bear joining." type="list">
      <formula1>=Lists!$D$2:$D$6</formula1>
    </dataValidation>
    <dataValidation sqref="L55" showDropDown="0" showInputMessage="1" showErrorMessage="1" allowBlank="1" errorTitle="Pick from the list" error="Skill levels are 1 to 5." promptTitle="Expedition 2" prompt="Cara: Mech Pet." type="list">
      <formula1>=Lists!$D$2:$D$6</formula1>
    </dataValidation>
    <dataValidation sqref="M55" showDropDown="0" showInputMessage="1" showErrorMessage="1" allowBlank="1" errorTitle="Pick from the list" error="Skill levels are 1 to 5." promptTitle="Expedition 3" prompt="Cara: Witch's Wrath." type="list">
      <formula1>=Lists!$D$2:$D$6</formula1>
    </dataValidation>
    <dataValidation sqref="H56" showDropDown="0" showInputMessage="1" showErrorMessage="1" allowBlank="1" errorTitle="Pick from the list" error="Skill levels are 1 to 5." promptTitle="Exploration 1" prompt="Dominic: Box Trick." type="list">
      <formula1>=Lists!$D$2:$D$6</formula1>
    </dataValidation>
    <dataValidation sqref="I56" showDropDown="0" showInputMessage="1" showErrorMessage="1" allowBlank="1" errorTitle="Pick from the list" error="Skill levels are 1 to 5." promptTitle="Exploration 2" prompt="Dominic: Scorching Roses." type="list">
      <formula1>=Lists!$D$2:$D$6</formula1>
    </dataValidation>
    <dataValidation sqref="J56" showDropDown="0" showInputMessage="1" showErrorMessage="1" allowBlank="1" errorTitle="Pick from the list" error="Skill levels are 1 to 5." promptTitle="Exploration 3" prompt="Dominic: Double Trouble." type="list">
      <formula1>=Lists!$D$2:$D$6</formula1>
    </dataValidation>
    <dataValidation sqref="K56" showDropDown="0" showInputMessage="1" showErrorMessage="1" allowBlank="1" errorTitle="Pick from the list" error="Skill levels are 1 to 5." promptTitle="Expedition 1" prompt="Dominic: Mystic Mechanism. First skill: the one that counts for Bear joining." type="list">
      <formula1>=Lists!$D$2:$D$6</formula1>
    </dataValidation>
    <dataValidation sqref="L56" showDropDown="0" showInputMessage="1" showErrorMessage="1" allowBlank="1" errorTitle="Pick from the list" error="Skill levels are 1 to 5." promptTitle="Expedition 2" prompt="Dominic: Spiky Assault." type="list">
      <formula1>=Lists!$D$2:$D$6</formula1>
    </dataValidation>
    <dataValidation sqref="M56" showDropDown="0" showInputMessage="1" showErrorMessage="1" allowBlank="1" errorTitle="Pick from the list" error="Skill levels are 1 to 5." promptTitle="Expedition 3" prompt="Dominic: Mirror Maze." type="list">
      <formula1>=Lists!$D$2:$D$6</formula1>
    </dataValidation>
    <dataValidation sqref="H57" showDropDown="0" showInputMessage="1" showErrorMessage="1" allowBlank="1" errorTitle="Pick from the list" error="Skill levels are 1 to 5." promptTitle="Exploration 1" prompt="Elif: Spectral Glide Lv.5." type="list">
      <formula1>=Lists!$D$2:$D$6</formula1>
    </dataValidation>
    <dataValidation sqref="I57" showDropDown="0" showInputMessage="1" showErrorMessage="1" allowBlank="1" errorTitle="Pick from the list" error="Skill levels are 1 to 5." promptTitle="Exploration 2" prompt="Elif: Blade Dance Lv.5." type="list">
      <formula1>=Lists!$D$2:$D$6</formula1>
    </dataValidation>
    <dataValidation sqref="J57" showDropDown="0" showInputMessage="1" showErrorMessage="1" allowBlank="1" errorTitle="Pick from the list" error="Skill levels are 1 to 5." promptTitle="Exploration 3" prompt="Elif: Ethereal Steps Lv.5." type="list">
      <formula1>=Lists!$D$2:$D$6</formula1>
    </dataValidation>
    <dataValidation sqref="K57" showDropDown="0" showInputMessage="1" showErrorMessage="1" allowBlank="1" errorTitle="Pick from the list" error="Skill levels are 1 to 5." promptTitle="Expedition 1" prompt="Elif: Shackling Veil Lv.5. First skill: the one that counts for Bear joining." type="list">
      <formula1>=Lists!$D$2:$D$6</formula1>
    </dataValidation>
    <dataValidation sqref="L57" showDropDown="0" showInputMessage="1" showErrorMessage="1" allowBlank="1" errorTitle="Pick from the list" error="Skill levels are 1 to 5." promptTitle="Expedition 2" prompt="Elif: Slash Formation Lv.5." type="list">
      <formula1>=Lists!$D$2:$D$6</formula1>
    </dataValidation>
    <dataValidation sqref="M57" showDropDown="0" showInputMessage="1" showErrorMessage="1" allowBlank="1" errorTitle="Pick from the list" error="Skill levels are 1 to 5." promptTitle="Expedition 3" prompt="Elif: Enchanting Tapestry Lv.5." type="list">
      <formula1>=Lists!$D$2:$D$6</formula1>
    </dataValidation>
    <dataValidation sqref="H58" showDropDown="0" showInputMessage="1" showErrorMessage="1" allowBlank="1" errorTitle="Pick from the list" error="Skill levels are 1 to 5." promptTitle="Exploration 1" prompt="Estrella: Scorching Scarlet." type="list">
      <formula1>=Lists!$D$2:$D$6</formula1>
    </dataValidation>
    <dataValidation sqref="I58" showDropDown="0" showInputMessage="1" showErrorMessage="1" allowBlank="1" errorTitle="Pick from the list" error="Skill levels are 1 to 5." promptTitle="Exploration 2" prompt="Estrella: Molten Gold." type="list">
      <formula1>=Lists!$D$2:$D$6</formula1>
    </dataValidation>
    <dataValidation sqref="J58" showDropDown="0" showInputMessage="1" showErrorMessage="1" allowBlank="1" errorTitle="Pick from the list" error="Skill levels are 1 to 5." promptTitle="Exploration 3" prompt="Estrella: Midnight Blue." type="list">
      <formula1>=Lists!$D$2:$D$6</formula1>
    </dataValidation>
    <dataValidation sqref="K58" showDropDown="0" showInputMessage="1" showErrorMessage="1" allowBlank="1" errorTitle="Pick from the list" error="Skill levels are 1 to 5." promptTitle="Expedition 1" prompt="Estrella: Corrosive Color. First skill: the one that counts for Bear joining." type="list">
      <formula1>=Lists!$D$2:$D$6</formula1>
    </dataValidation>
    <dataValidation sqref="L58" showDropDown="0" showInputMessage="1" showErrorMessage="1" allowBlank="1" errorTitle="Pick from the list" error="Skill levels are 1 to 5." promptTitle="Expedition 2" prompt="Estrella: Dawn Canvas." type="list">
      <formula1>=Lists!$D$2:$D$6</formula1>
    </dataValidation>
    <dataValidation sqref="M58" showDropDown="0" showInputMessage="1" showErrorMessage="1" allowBlank="1" errorTitle="Pick from the list" error="Skill levels are 1 to 5." promptTitle="Expedition 3" prompt="Estrella: Splendid Scene." type="list">
      <formula1>=Lists!$D$2:$D$6</formula1>
    </dataValidation>
    <dataValidation sqref="H59" showDropDown="0" showInputMessage="1" showErrorMessage="1" allowBlank="1" errorTitle="Pick from the list" error="Skill levels are 1 to 5." promptTitle="Exploration 1" prompt="Hank: Frenzied Slashes." type="list">
      <formula1>=Lists!$D$2:$D$6</formula1>
    </dataValidation>
    <dataValidation sqref="I59" showDropDown="0" showInputMessage="1" showErrorMessage="1" allowBlank="1" errorTitle="Pick from the list" error="Skill levels are 1 to 5." promptTitle="Exploration 2" prompt="Hank: Urgent Energy." type="list">
      <formula1>=Lists!$D$2:$D$6</formula1>
    </dataValidation>
    <dataValidation sqref="J59" showDropDown="0" showInputMessage="1" showErrorMessage="1" allowBlank="1" errorTitle="Pick from the list" error="Skill levels are 1 to 5." promptTitle="Exploration 3" prompt="Hank: Recycle &amp; Reuse." type="list">
      <formula1>=Lists!$D$2:$D$6</formula1>
    </dataValidation>
    <dataValidation sqref="K59" showDropDown="0" showInputMessage="1" showErrorMessage="1" allowBlank="1" errorTitle="Pick from the list" error="Skill levels are 1 to 5." promptTitle="Expedition 1" prompt="Hank: Roaring Rage. First skill: the one that counts for Bear joining." type="list">
      <formula1>=Lists!$D$2:$D$6</formula1>
    </dataValidation>
    <dataValidation sqref="L59" showDropDown="0" showInputMessage="1" showErrorMessage="1" allowBlank="1" errorTitle="Pick from the list" error="Skill levels are 1 to 5." promptTitle="Expedition 2" prompt="Hank: Flying Sparks." type="list">
      <formula1>=Lists!$D$2:$D$6</formula1>
    </dataValidation>
    <dataValidation sqref="M59" showDropDown="0" showInputMessage="1" showErrorMessage="1" allowBlank="1" errorTitle="Pick from the list" error="Skill levels are 1 to 5." promptTitle="Expedition 3" prompt="Hank: Raging Force." type="list">
      <formula1>=Lists!$D$2:$D$6</formula1>
    </dataValidation>
    <dataValidation sqref="H60" showDropDown="0" showInputMessage="1" showErrorMessage="1" allowBlank="1" errorTitle="Pick from the list" error="Skill levels are 1 to 5." promptTitle="Exploration 1" prompt="Viveca: Evernight Finale." type="list">
      <formula1>=Lists!$D$2:$D$6</formula1>
    </dataValidation>
    <dataValidation sqref="I60" showDropDown="0" showInputMessage="1" showErrorMessage="1" allowBlank="1" errorTitle="Pick from the list" error="Skill levels are 1 to 5." promptTitle="Exploration 2" prompt="Viveca: Dark Scion." type="list">
      <formula1>=Lists!$D$2:$D$6</formula1>
    </dataValidation>
    <dataValidation sqref="J60" showDropDown="0" showInputMessage="1" showErrorMessage="1" allowBlank="1" errorTitle="Pick from the list" error="Skill levels are 1 to 5." promptTitle="Exploration 3" prompt="Viveca: Frigid Dirge." type="list">
      <formula1>=Lists!$D$2:$D$6</formula1>
    </dataValidation>
    <dataValidation sqref="K60" showDropDown="0" showInputMessage="1" showErrorMessage="1" allowBlank="1" errorTitle="Pick from the list" error="Skill levels are 1 to 5." promptTitle="Expedition 1" prompt="Viveca: Nightfall Legion. First skill: the one that counts for Bear joining." type="list">
      <formula1>=Lists!$D$2:$D$6</formula1>
    </dataValidation>
    <dataValidation sqref="L60" showDropDown="0" showInputMessage="1" showErrorMessage="1" allowBlank="1" errorTitle="Pick from the list" error="Skill levels are 1 to 5." promptTitle="Expedition 2" prompt="Viveca: Shadow World." type="list">
      <formula1>=Lists!$D$2:$D$6</formula1>
    </dataValidation>
    <dataValidation sqref="M60" showDropDown="0" showInputMessage="1" showErrorMessage="1" allowBlank="1" errorTitle="Pick from the list" error="Skill levels are 1 to 5." promptTitle="Expedition 3" prompt="Viveca: Children of the Mist." type="list">
      <formula1>=Lists!$D$2:$D$6</formula1>
    </dataValidation>
    <dataValidation sqref="H61" showDropDown="0" showInputMessage="1" showErrorMessage="1" allowBlank="1" errorTitle="Pick from the list" error="Skill levels are 1 to 5." promptTitle="Exploration 1" prompt="Aisling: Wild Growth." type="list">
      <formula1>=Lists!$D$2:$D$6</formula1>
    </dataValidation>
    <dataValidation sqref="I61" showDropDown="0" showInputMessage="1" showErrorMessage="1" allowBlank="1" errorTitle="Pick from the list" error="Skill levels are 1 to 5." promptTitle="Exploration 2" prompt="Aisling: Fruits of Plenty." type="list">
      <formula1>=Lists!$D$2:$D$6</formula1>
    </dataValidation>
    <dataValidation sqref="J61" showDropDown="0" showInputMessage="1" showErrorMessage="1" allowBlank="1" errorTitle="Pick from the list" error="Skill levels are 1 to 5." promptTitle="Exploration 3" prompt="Aisling: Bladestones." type="list">
      <formula1>=Lists!$D$2:$D$6</formula1>
    </dataValidation>
    <dataValidation sqref="K61" showDropDown="0" showInputMessage="1" showErrorMessage="1" allowBlank="1" errorTitle="Pick from the list" error="Skill levels are 1 to 5." promptTitle="Expedition 1" prompt="Aisling: Songs of the Ancestors. First skill: the one that counts for Bear joining." type="list">
      <formula1>=Lists!$D$2:$D$6</formula1>
    </dataValidation>
    <dataValidation sqref="L61" showDropDown="0" showInputMessage="1" showErrorMessage="1" allowBlank="1" errorTitle="Pick from the list" error="Skill levels are 1 to 5." promptTitle="Expedition 2" prompt="Aisling: Rock Strom." type="list">
      <formula1>=Lists!$D$2:$D$6</formula1>
    </dataValidation>
    <dataValidation sqref="M61" showDropDown="0" showInputMessage="1" showErrorMessage="1" allowBlank="1" errorTitle="Pick from the list" error="Skill levels are 1 to 5." promptTitle="Expedition 3" prompt="Aisling: Forest Fury." type="list">
      <formula1>=Lists!$D$2:$D$6</formula1>
    </dataValidation>
    <dataValidation sqref="H62" showDropDown="0" showInputMessage="1" showErrorMessage="1" allowBlank="1" errorTitle="Pick from the list" error="Skill levels are 1 to 5." promptTitle="Exploration 1" prompt="Seigel: Spike Guard." type="list">
      <formula1>=Lists!$D$2:$D$6</formula1>
    </dataValidation>
    <dataValidation sqref="I62" showDropDown="0" showInputMessage="1" showErrorMessage="1" allowBlank="1" errorTitle="Pick from the list" error="Skill levels are 1 to 5." promptTitle="Exploration 2" prompt="Seigel: Spear of the Moon." type="list">
      <formula1>=Lists!$D$2:$D$6</formula1>
    </dataValidation>
    <dataValidation sqref="J62" showDropDown="0" showInputMessage="1" showErrorMessage="1" allowBlank="1" errorTitle="Pick from the list" error="Skill levels are 1 to 5." promptTitle="Exploration 3" prompt="Seigel: Cursed Protection." type="list">
      <formula1>=Lists!$D$2:$D$6</formula1>
    </dataValidation>
    <dataValidation sqref="K62" showDropDown="0" showInputMessage="1" showErrorMessage="1" allowBlank="1" errorTitle="Pick from the list" error="Skill levels are 1 to 5." promptTitle="Expedition 1" prompt="Seigel: Armor of Night. First skill: the one that counts for Bear joining." type="list">
      <formula1>=Lists!$D$2:$D$6</formula1>
    </dataValidation>
    <dataValidation sqref="L62" showDropDown="0" showInputMessage="1" showErrorMessage="1" allowBlank="1" errorTitle="Pick from the list" error="Skill levels are 1 to 5." promptTitle="Expedition 2" prompt="Seigel: Night's Defense." type="list">
      <formula1>=Lists!$D$2:$D$6</formula1>
    </dataValidation>
    <dataValidation sqref="M62" showDropDown="0" showInputMessage="1" showErrorMessage="1" allowBlank="1" errorTitle="Pick from the list" error="Skill levels are 1 to 5." promptTitle="Expedition 3" prompt="Seigel: Vanguard of Eternity." type="list">
      <formula1>=Lists!$D$2:$D$6</formula1>
    </dataValidation>
    <dataValidation sqref="H63" showDropDown="0" showInputMessage="1" showErrorMessage="1" allowBlank="1" errorTitle="Pick from the list" error="Skill levels are 1 to 5." promptTitle="Exploration 1" prompt="Ursar: Ancestral Totem." type="list">
      <formula1>=Lists!$D$2:$D$6</formula1>
    </dataValidation>
    <dataValidation sqref="I63" showDropDown="0" showInputMessage="1" showErrorMessage="1" allowBlank="1" errorTitle="Pick from the list" error="Skill levels are 1 to 5." promptTitle="Exploration 2" prompt="Ursar: Wind Tip." type="list">
      <formula1>=Lists!$D$2:$D$6</formula1>
    </dataValidation>
    <dataValidation sqref="J63" showDropDown="0" showInputMessage="1" showErrorMessage="1" allowBlank="1" errorTitle="Pick from the list" error="Skill levels are 1 to 5." promptTitle="Exploration 3" prompt="Ursar: Dance of the Windbreakers." type="list">
      <formula1>=Lists!$D$2:$D$6</formula1>
    </dataValidation>
    <dataValidation sqref="K63" showDropDown="0" showInputMessage="1" showErrorMessage="1" allowBlank="1" errorTitle="Pick from the list" error="Skill levels are 1 to 5." promptTitle="Expedition 1" prompt="Ursar: Forest Spores. First skill: the one that counts for Bear joining." type="list">
      <formula1>=Lists!$D$2:$D$6</formula1>
    </dataValidation>
    <dataValidation sqref="L63" showDropDown="0" showInputMessage="1" showErrorMessage="1" allowBlank="1" errorTitle="Pick from the list" error="Skill levels are 1 to 5." promptTitle="Expedition 2" prompt="Ursar: Horn of the Ancients." type="list">
      <formula1>=Lists!$D$2:$D$6</formula1>
    </dataValidation>
    <dataValidation sqref="M63" showDropDown="0" showInputMessage="1" showErrorMessage="1" allowBlank="1" errorTitle="Pick from the list" error="Skill levels are 1 to 5." promptTitle="Expedition 3" prompt="Ursar: Poison Tips." type="list">
      <formula1>=Lists!$D$2:$D$6</formula1>
    </dataValidation>
    <dataValidation sqref="H64" showDropDown="0" showInputMessage="1" showErrorMessage="1" allowBlank="1" errorTitle="Pick from the list" error="Skill levels are 1 to 5." promptTitle="Exploration 1" prompt="Aiden: Torch Shield." type="list">
      <formula1>=Lists!$D$2:$D$6</formula1>
    </dataValidation>
    <dataValidation sqref="I64" showDropDown="0" showInputMessage="1" showErrorMessage="1" allowBlank="1" errorTitle="Pick from the list" error="Skill levels are 1 to 5." promptTitle="Exploration 2" prompt="Aiden: Fire Fist." type="list">
      <formula1>=Lists!$D$2:$D$6</formula1>
    </dataValidation>
    <dataValidation sqref="J64" showDropDown="0" showInputMessage="1" showErrorMessage="1" allowBlank="1" errorTitle="Pick from the list" error="Skill levels are 1 to 5." promptTitle="Exploration 3" prompt="Aiden: Bloodlust." type="list">
      <formula1>=Lists!$D$2:$D$6</formula1>
    </dataValidation>
    <dataValidation sqref="K64" showDropDown="0" showInputMessage="1" showErrorMessage="1" allowBlank="1" errorTitle="Pick from the list" error="Skill levels are 1 to 5." promptTitle="Expedition 1" prompt="Aiden: Starfire Wall. First skill: the one that counts for Bear joining." type="list">
      <formula1>=Lists!$D$2:$D$6</formula1>
    </dataValidation>
    <dataValidation sqref="L64" showDropDown="0" showInputMessage="1" showErrorMessage="1" allowBlank="1" errorTitle="Pick from the list" error="Skill levels are 1 to 5." promptTitle="Expedition 2" prompt="Aiden: Scarlet Brigade." type="list">
      <formula1>=Lists!$D$2:$D$6</formula1>
    </dataValidation>
    <dataValidation sqref="M64" showDropDown="0" showInputMessage="1" showErrorMessage="1" allowBlank="1" errorTitle="Pick from the list" error="Skill levels are 1 to 5." promptTitle="Expedition 3" prompt="Aiden: Rush." type="list">
      <formula1>=Lists!$D$2:$D$6</formula1>
    </dataValidation>
    <dataValidation sqref="H65" showDropDown="0" showInputMessage="1" showErrorMessage="1" allowBlank="1" errorTitle="Pick from the list" error="Skill levels are 1 to 5." promptTitle="Exploration 1" prompt="Bertha: Healing Rain." type="list">
      <formula1>=Lists!$D$2:$D$6</formula1>
    </dataValidation>
    <dataValidation sqref="I65" showDropDown="0" showInputMessage="1" showErrorMessage="1" allowBlank="1" errorTitle="Pick from the list" error="Skill levels are 1 to 5." promptTitle="Exploration 2" prompt="Bertha: Tranquilizer." type="list">
      <formula1>=Lists!$D$2:$D$6</formula1>
    </dataValidation>
    <dataValidation sqref="J65" showDropDown="0" showInputMessage="1" showErrorMessage="1" allowBlank="1" errorTitle="Pick from the list" error="Skill levels are 1 to 5." promptTitle="Exploration 3" prompt="Bertha: Enhancement Reagent." type="list">
      <formula1>=Lists!$D$2:$D$6</formula1>
    </dataValidation>
    <dataValidation sqref="K65" showDropDown="0" showInputMessage="1" showErrorMessage="1" allowBlank="1" errorTitle="Pick from the list" error="Skill levels are 1 to 5." promptTitle="Expedition 1" prompt="Bertha: Dissection. First skill: the one that counts for Bear joining." type="list">
      <formula1>=Lists!$D$2:$D$6</formula1>
    </dataValidation>
    <dataValidation sqref="L65" showDropDown="0" showInputMessage="1" showErrorMessage="1" allowBlank="1" errorTitle="Pick from the list" error="Skill levels are 1 to 5." promptTitle="Expedition 2" prompt="Bertha: Vengeance." type="list">
      <formula1>=Lists!$D$2:$D$6</formula1>
    </dataValidation>
    <dataValidation sqref="M65" showDropDown="0" showInputMessage="1" showErrorMessage="1" allowBlank="1" errorTitle="Pick from the list" error="Skill levels are 1 to 5." promptTitle="Expedition 3" prompt="Bertha: Lethal Precision." type="list">
      <formula1>=Lists!$D$2:$D$6</formula1>
    </dataValidation>
    <dataValidation sqref="H66" showDropDown="0" showInputMessage="1" showErrorMessage="1" allowBlank="1" errorTitle="Pick from the list" error="Skill levels are 1 to 5." promptTitle="Exploration 1" prompt="Eleanor: Call to the Chieftain." type="list">
      <formula1>=Lists!$D$2:$D$6</formula1>
    </dataValidation>
    <dataValidation sqref="I66" showDropDown="0" showInputMessage="1" showErrorMessage="1" allowBlank="1" errorTitle="Pick from the list" error="Skill levels are 1 to 5." promptTitle="Exploration 2" prompt="Eleanor: Risk Reduction." type="list">
      <formula1>=Lists!$D$2:$D$6</formula1>
    </dataValidation>
    <dataValidation sqref="J66" showDropDown="0" showInputMessage="1" showErrorMessage="1" allowBlank="1" errorTitle="Pick from the list" error="Skill levels are 1 to 5." promptTitle="Exploration 3" prompt="Eleanor: Deduct &amp; Conquer." type="list">
      <formula1>=Lists!$D$2:$D$6</formula1>
    </dataValidation>
    <dataValidation sqref="K66" showDropDown="0" showInputMessage="1" showErrorMessage="1" allowBlank="1" errorTitle="Pick from the list" error="Skill levels are 1 to 5." promptTitle="Expedition 1" prompt="Eleanor: Theoretical Advantage. First skill: the one that counts for Bear joining." type="list">
      <formula1>=Lists!$D$2:$D$6</formula1>
    </dataValidation>
    <dataValidation sqref="L66" showDropDown="0" showInputMessage="1" showErrorMessage="1" allowBlank="1" errorTitle="Pick from the list" error="Skill levels are 1 to 5." promptTitle="Expedition 2" prompt="Eleanor: Pierce Caliber." type="list">
      <formula1>=Lists!$D$2:$D$6</formula1>
    </dataValidation>
    <dataValidation sqref="M66" showDropDown="0" showInputMessage="1" showErrorMessage="1" allowBlank="1" errorTitle="Pick from the list" error="Skill levels are 1 to 5." promptTitle="Expedition 3" prompt="Eleanor: Trajectoids." type="list">
      <formula1>=Lists!$D$2:$D$6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14" customWidth="1" min="2" max="2"/>
    <col width="10" customWidth="1" min="3" max="3"/>
    <col width="16" customWidth="1" min="4" max="4"/>
    <col width="14" customWidth="1" min="5" max="5"/>
    <col width="14" customWidth="1" min="6" max="6"/>
  </cols>
  <sheetData>
    <row r="1">
      <c r="A1" s="1" t="inlineStr">
        <is>
          <t>Roster summary</t>
        </is>
      </c>
    </row>
    <row r="2">
      <c r="A2" s="2" t="inlineStr">
        <is>
          <t>Everything on this sheet is calculated from the Roster sheet. Do not type here.</t>
        </is>
      </c>
    </row>
    <row r="4" ht="34" customHeight="1">
      <c r="A4" s="7" t="inlineStr">
        <is>
          <t>Gen</t>
        </is>
      </c>
      <c r="B4" s="7" t="inlineStr">
        <is>
          <t>Heroes listed</t>
        </is>
      </c>
      <c r="C4" s="7" t="inlineStr">
        <is>
          <t>Owned</t>
        </is>
      </c>
      <c r="D4" s="7" t="inlineStr">
        <is>
          <t>Owned at 4 stars or more</t>
        </is>
      </c>
      <c r="E4" s="7" t="inlineStr">
        <is>
          <t>Bear joiner ready</t>
        </is>
      </c>
      <c r="F4" s="7" t="inlineStr">
        <is>
          <t>Still to fill in</t>
        </is>
      </c>
    </row>
    <row r="5">
      <c r="A5" s="13" t="n">
        <v>1</v>
      </c>
      <c r="B5" s="13">
        <f>COUNTIFS(Roster!$A$2:$A$66,A5)</f>
        <v/>
      </c>
      <c r="C5" s="13">
        <f>COUNTIFS(Roster!$A$2:$A$66,A5,Roster!$E$2:$E$66,"Yes")</f>
        <v/>
      </c>
      <c r="D5" s="13">
        <f>COUNTIFS(Roster!$A$2:$A$66,A5,Roster!$E$2:$E$66,"Yes",Roster!$F$2:$F$66,"&gt;=4")</f>
        <v/>
      </c>
      <c r="E5" s="13">
        <f>COUNTIFS(Roster!$A$2:$A$66,A5,Roster!$R$2:$R$66,"Yes")</f>
        <v/>
      </c>
      <c r="F5" s="13">
        <f>COUNTIFS(Roster!$A$2:$A$66,A5,Roster!$Q$2:$Q$66,"Fill*")</f>
        <v/>
      </c>
    </row>
    <row r="6">
      <c r="A6" s="13" t="n">
        <v>2</v>
      </c>
      <c r="B6" s="13">
        <f>COUNTIFS(Roster!$A$2:$A$66,A6)</f>
        <v/>
      </c>
      <c r="C6" s="13">
        <f>COUNTIFS(Roster!$A$2:$A$66,A6,Roster!$E$2:$E$66,"Yes")</f>
        <v/>
      </c>
      <c r="D6" s="13">
        <f>COUNTIFS(Roster!$A$2:$A$66,A6,Roster!$E$2:$E$66,"Yes",Roster!$F$2:$F$66,"&gt;=4")</f>
        <v/>
      </c>
      <c r="E6" s="13">
        <f>COUNTIFS(Roster!$A$2:$A$66,A6,Roster!$R$2:$R$66,"Yes")</f>
        <v/>
      </c>
      <c r="F6" s="13">
        <f>COUNTIFS(Roster!$A$2:$A$66,A6,Roster!$Q$2:$Q$66,"Fill*")</f>
        <v/>
      </c>
    </row>
    <row r="7">
      <c r="A7" s="13" t="n">
        <v>3</v>
      </c>
      <c r="B7" s="13">
        <f>COUNTIFS(Roster!$A$2:$A$66,A7)</f>
        <v/>
      </c>
      <c r="C7" s="13">
        <f>COUNTIFS(Roster!$A$2:$A$66,A7,Roster!$E$2:$E$66,"Yes")</f>
        <v/>
      </c>
      <c r="D7" s="13">
        <f>COUNTIFS(Roster!$A$2:$A$66,A7,Roster!$E$2:$E$66,"Yes",Roster!$F$2:$F$66,"&gt;=4")</f>
        <v/>
      </c>
      <c r="E7" s="13">
        <f>COUNTIFS(Roster!$A$2:$A$66,A7,Roster!$R$2:$R$66,"Yes")</f>
        <v/>
      </c>
      <c r="F7" s="13">
        <f>COUNTIFS(Roster!$A$2:$A$66,A7,Roster!$Q$2:$Q$66,"Fill*")</f>
        <v/>
      </c>
    </row>
    <row r="8">
      <c r="A8" s="13" t="n">
        <v>4</v>
      </c>
      <c r="B8" s="13">
        <f>COUNTIFS(Roster!$A$2:$A$66,A8)</f>
        <v/>
      </c>
      <c r="C8" s="13">
        <f>COUNTIFS(Roster!$A$2:$A$66,A8,Roster!$E$2:$E$66,"Yes")</f>
        <v/>
      </c>
      <c r="D8" s="13">
        <f>COUNTIFS(Roster!$A$2:$A$66,A8,Roster!$E$2:$E$66,"Yes",Roster!$F$2:$F$66,"&gt;=4")</f>
        <v/>
      </c>
      <c r="E8" s="13">
        <f>COUNTIFS(Roster!$A$2:$A$66,A8,Roster!$R$2:$R$66,"Yes")</f>
        <v/>
      </c>
      <c r="F8" s="13">
        <f>COUNTIFS(Roster!$A$2:$A$66,A8,Roster!$Q$2:$Q$66,"Fill*")</f>
        <v/>
      </c>
    </row>
    <row r="9">
      <c r="A9" s="13" t="n">
        <v>5</v>
      </c>
      <c r="B9" s="13">
        <f>COUNTIFS(Roster!$A$2:$A$66,A9)</f>
        <v/>
      </c>
      <c r="C9" s="13">
        <f>COUNTIFS(Roster!$A$2:$A$66,A9,Roster!$E$2:$E$66,"Yes")</f>
        <v/>
      </c>
      <c r="D9" s="13">
        <f>COUNTIFS(Roster!$A$2:$A$66,A9,Roster!$E$2:$E$66,"Yes",Roster!$F$2:$F$66,"&gt;=4")</f>
        <v/>
      </c>
      <c r="E9" s="13">
        <f>COUNTIFS(Roster!$A$2:$A$66,A9,Roster!$R$2:$R$66,"Yes")</f>
        <v/>
      </c>
      <c r="F9" s="13">
        <f>COUNTIFS(Roster!$A$2:$A$66,A9,Roster!$Q$2:$Q$66,"Fill*")</f>
        <v/>
      </c>
    </row>
    <row r="10">
      <c r="A10" s="13" t="n">
        <v>6</v>
      </c>
      <c r="B10" s="13">
        <f>COUNTIFS(Roster!$A$2:$A$66,A10)</f>
        <v/>
      </c>
      <c r="C10" s="13">
        <f>COUNTIFS(Roster!$A$2:$A$66,A10,Roster!$E$2:$E$66,"Yes")</f>
        <v/>
      </c>
      <c r="D10" s="13">
        <f>COUNTIFS(Roster!$A$2:$A$66,A10,Roster!$E$2:$E$66,"Yes",Roster!$F$2:$F$66,"&gt;=4")</f>
        <v/>
      </c>
      <c r="E10" s="13">
        <f>COUNTIFS(Roster!$A$2:$A$66,A10,Roster!$R$2:$R$66,"Yes")</f>
        <v/>
      </c>
      <c r="F10" s="13">
        <f>COUNTIFS(Roster!$A$2:$A$66,A10,Roster!$Q$2:$Q$66,"Fill*")</f>
        <v/>
      </c>
    </row>
    <row r="11">
      <c r="A11" s="13" t="n">
        <v>7</v>
      </c>
      <c r="B11" s="13">
        <f>COUNTIFS(Roster!$A$2:$A$66,A11)</f>
        <v/>
      </c>
      <c r="C11" s="13">
        <f>COUNTIFS(Roster!$A$2:$A$66,A11,Roster!$E$2:$E$66,"Yes")</f>
        <v/>
      </c>
      <c r="D11" s="13">
        <f>COUNTIFS(Roster!$A$2:$A$66,A11,Roster!$E$2:$E$66,"Yes",Roster!$F$2:$F$66,"&gt;=4")</f>
        <v/>
      </c>
      <c r="E11" s="13">
        <f>COUNTIFS(Roster!$A$2:$A$66,A11,Roster!$R$2:$R$66,"Yes")</f>
        <v/>
      </c>
      <c r="F11" s="13">
        <f>COUNTIFS(Roster!$A$2:$A$66,A11,Roster!$Q$2:$Q$66,"Fill*")</f>
        <v/>
      </c>
    </row>
    <row r="12">
      <c r="A12" s="13" t="n">
        <v>8</v>
      </c>
      <c r="B12" s="13">
        <f>COUNTIFS(Roster!$A$2:$A$66,A12)</f>
        <v/>
      </c>
      <c r="C12" s="13">
        <f>COUNTIFS(Roster!$A$2:$A$66,A12,Roster!$E$2:$E$66,"Yes")</f>
        <v/>
      </c>
      <c r="D12" s="13">
        <f>COUNTIFS(Roster!$A$2:$A$66,A12,Roster!$E$2:$E$66,"Yes",Roster!$F$2:$F$66,"&gt;=4")</f>
        <v/>
      </c>
      <c r="E12" s="13">
        <f>COUNTIFS(Roster!$A$2:$A$66,A12,Roster!$R$2:$R$66,"Yes")</f>
        <v/>
      </c>
      <c r="F12" s="13">
        <f>COUNTIFS(Roster!$A$2:$A$66,A12,Roster!$Q$2:$Q$66,"Fill*")</f>
        <v/>
      </c>
    </row>
    <row r="13">
      <c r="A13" s="13" t="n">
        <v>9</v>
      </c>
      <c r="B13" s="13">
        <f>COUNTIFS(Roster!$A$2:$A$66,A13)</f>
        <v/>
      </c>
      <c r="C13" s="13">
        <f>COUNTIFS(Roster!$A$2:$A$66,A13,Roster!$E$2:$E$66,"Yes")</f>
        <v/>
      </c>
      <c r="D13" s="13">
        <f>COUNTIFS(Roster!$A$2:$A$66,A13,Roster!$E$2:$E$66,"Yes",Roster!$F$2:$F$66,"&gt;=4")</f>
        <v/>
      </c>
      <c r="E13" s="13">
        <f>COUNTIFS(Roster!$A$2:$A$66,A13,Roster!$R$2:$R$66,"Yes")</f>
        <v/>
      </c>
      <c r="F13" s="13">
        <f>COUNTIFS(Roster!$A$2:$A$66,A13,Roster!$Q$2:$Q$66,"Fill*")</f>
        <v/>
      </c>
    </row>
    <row r="14">
      <c r="A14" s="13" t="n">
        <v>10</v>
      </c>
      <c r="B14" s="13">
        <f>COUNTIFS(Roster!$A$2:$A$66,A14)</f>
        <v/>
      </c>
      <c r="C14" s="13">
        <f>COUNTIFS(Roster!$A$2:$A$66,A14,Roster!$E$2:$E$66,"Yes")</f>
        <v/>
      </c>
      <c r="D14" s="13">
        <f>COUNTIFS(Roster!$A$2:$A$66,A14,Roster!$E$2:$E$66,"Yes",Roster!$F$2:$F$66,"&gt;=4")</f>
        <v/>
      </c>
      <c r="E14" s="13">
        <f>COUNTIFS(Roster!$A$2:$A$66,A14,Roster!$R$2:$R$66,"Yes")</f>
        <v/>
      </c>
      <c r="F14" s="13">
        <f>COUNTIFS(Roster!$A$2:$A$66,A14,Roster!$Q$2:$Q$66,"Fill*")</f>
        <v/>
      </c>
    </row>
    <row r="15">
      <c r="A15" s="13" t="n">
        <v>11</v>
      </c>
      <c r="B15" s="13">
        <f>COUNTIFS(Roster!$A$2:$A$66,A15)</f>
        <v/>
      </c>
      <c r="C15" s="13">
        <f>COUNTIFS(Roster!$A$2:$A$66,A15,Roster!$E$2:$E$66,"Yes")</f>
        <v/>
      </c>
      <c r="D15" s="13">
        <f>COUNTIFS(Roster!$A$2:$A$66,A15,Roster!$E$2:$E$66,"Yes",Roster!$F$2:$F$66,"&gt;=4")</f>
        <v/>
      </c>
      <c r="E15" s="13">
        <f>COUNTIFS(Roster!$A$2:$A$66,A15,Roster!$R$2:$R$66,"Yes")</f>
        <v/>
      </c>
      <c r="F15" s="13">
        <f>COUNTIFS(Roster!$A$2:$A$66,A15,Roster!$Q$2:$Q$66,"Fill*")</f>
        <v/>
      </c>
    </row>
    <row r="16">
      <c r="A16" s="13" t="n">
        <v>12</v>
      </c>
      <c r="B16" s="13">
        <f>COUNTIFS(Roster!$A$2:$A$66,A16)</f>
        <v/>
      </c>
      <c r="C16" s="13">
        <f>COUNTIFS(Roster!$A$2:$A$66,A16,Roster!$E$2:$E$66,"Yes")</f>
        <v/>
      </c>
      <c r="D16" s="13">
        <f>COUNTIFS(Roster!$A$2:$A$66,A16,Roster!$E$2:$E$66,"Yes",Roster!$F$2:$F$66,"&gt;=4")</f>
        <v/>
      </c>
      <c r="E16" s="13">
        <f>COUNTIFS(Roster!$A$2:$A$66,A16,Roster!$R$2:$R$66,"Yes")</f>
        <v/>
      </c>
      <c r="F16" s="13">
        <f>COUNTIFS(Roster!$A$2:$A$66,A16,Roster!$Q$2:$Q$66,"Fill*")</f>
        <v/>
      </c>
    </row>
    <row r="17">
      <c r="A17" s="13" t="n">
        <v>13</v>
      </c>
      <c r="B17" s="13">
        <f>COUNTIFS(Roster!$A$2:$A$66,A17)</f>
        <v/>
      </c>
      <c r="C17" s="13">
        <f>COUNTIFS(Roster!$A$2:$A$66,A17,Roster!$E$2:$E$66,"Yes")</f>
        <v/>
      </c>
      <c r="D17" s="13">
        <f>COUNTIFS(Roster!$A$2:$A$66,A17,Roster!$E$2:$E$66,"Yes",Roster!$F$2:$F$66,"&gt;=4")</f>
        <v/>
      </c>
      <c r="E17" s="13">
        <f>COUNTIFS(Roster!$A$2:$A$66,A17,Roster!$R$2:$R$66,"Yes")</f>
        <v/>
      </c>
      <c r="F17" s="13">
        <f>COUNTIFS(Roster!$A$2:$A$66,A17,Roster!$Q$2:$Q$66,"Fill*")</f>
        <v/>
      </c>
    </row>
    <row r="18">
      <c r="A18" s="13" t="n">
        <v>14</v>
      </c>
      <c r="B18" s="13">
        <f>COUNTIFS(Roster!$A$2:$A$66,A18)</f>
        <v/>
      </c>
      <c r="C18" s="13">
        <f>COUNTIFS(Roster!$A$2:$A$66,A18,Roster!$E$2:$E$66,"Yes")</f>
        <v/>
      </c>
      <c r="D18" s="13">
        <f>COUNTIFS(Roster!$A$2:$A$66,A18,Roster!$E$2:$E$66,"Yes",Roster!$F$2:$F$66,"&gt;=4")</f>
        <v/>
      </c>
      <c r="E18" s="13">
        <f>COUNTIFS(Roster!$A$2:$A$66,A18,Roster!$R$2:$R$66,"Yes")</f>
        <v/>
      </c>
      <c r="F18" s="13">
        <f>COUNTIFS(Roster!$A$2:$A$66,A18,Roster!$Q$2:$Q$66,"Fill*")</f>
        <v/>
      </c>
    </row>
    <row r="19">
      <c r="A19" s="13" t="n">
        <v>15</v>
      </c>
      <c r="B19" s="13">
        <f>COUNTIFS(Roster!$A$2:$A$66,A19)</f>
        <v/>
      </c>
      <c r="C19" s="13">
        <f>COUNTIFS(Roster!$A$2:$A$66,A19,Roster!$E$2:$E$66,"Yes")</f>
        <v/>
      </c>
      <c r="D19" s="13">
        <f>COUNTIFS(Roster!$A$2:$A$66,A19,Roster!$E$2:$E$66,"Yes",Roster!$F$2:$F$66,"&gt;=4")</f>
        <v/>
      </c>
      <c r="E19" s="13">
        <f>COUNTIFS(Roster!$A$2:$A$66,A19,Roster!$R$2:$R$66,"Yes")</f>
        <v/>
      </c>
      <c r="F19" s="13">
        <f>COUNTIFS(Roster!$A$2:$A$66,A19,Roster!$Q$2:$Q$66,"Fill*")</f>
        <v/>
      </c>
    </row>
    <row r="20">
      <c r="A20" s="13" t="n">
        <v>16</v>
      </c>
      <c r="B20" s="13">
        <f>COUNTIFS(Roster!$A$2:$A$66,A20)</f>
        <v/>
      </c>
      <c r="C20" s="13">
        <f>COUNTIFS(Roster!$A$2:$A$66,A20,Roster!$E$2:$E$66,"Yes")</f>
        <v/>
      </c>
      <c r="D20" s="13">
        <f>COUNTIFS(Roster!$A$2:$A$66,A20,Roster!$E$2:$E$66,"Yes",Roster!$F$2:$F$66,"&gt;=4")</f>
        <v/>
      </c>
      <c r="E20" s="13">
        <f>COUNTIFS(Roster!$A$2:$A$66,A20,Roster!$R$2:$R$66,"Yes")</f>
        <v/>
      </c>
      <c r="F20" s="13">
        <f>COUNTIFS(Roster!$A$2:$A$66,A20,Roster!$Q$2:$Q$66,"Fill*")</f>
        <v/>
      </c>
    </row>
    <row r="21">
      <c r="A21" s="13" t="n">
        <v>17</v>
      </c>
      <c r="B21" s="13">
        <f>COUNTIFS(Roster!$A$2:$A$66,A21)</f>
        <v/>
      </c>
      <c r="C21" s="13">
        <f>COUNTIFS(Roster!$A$2:$A$66,A21,Roster!$E$2:$E$66,"Yes")</f>
        <v/>
      </c>
      <c r="D21" s="13">
        <f>COUNTIFS(Roster!$A$2:$A$66,A21,Roster!$E$2:$E$66,"Yes",Roster!$F$2:$F$66,"&gt;=4")</f>
        <v/>
      </c>
      <c r="E21" s="13">
        <f>COUNTIFS(Roster!$A$2:$A$66,A21,Roster!$R$2:$R$66,"Yes")</f>
        <v/>
      </c>
      <c r="F21" s="13">
        <f>COUNTIFS(Roster!$A$2:$A$66,A21,Roster!$Q$2:$Q$66,"Fill*")</f>
        <v/>
      </c>
    </row>
    <row r="22">
      <c r="A22" s="20" t="inlineStr">
        <is>
          <t>Total</t>
        </is>
      </c>
      <c r="B22" s="20">
        <f>SUM(B5:B21)</f>
        <v/>
      </c>
      <c r="C22" s="20">
        <f>SUM(C5:C21)</f>
        <v/>
      </c>
      <c r="D22" s="20">
        <f>SUM(D5:D21)</f>
        <v/>
      </c>
      <c r="E22" s="20">
        <f>SUM(E5:E21)</f>
        <v/>
      </c>
      <c r="F22" s="20">
        <f>SUM(F5:F21)</f>
        <v/>
      </c>
    </row>
    <row r="24">
      <c r="A24" s="2" t="inlineStr">
        <is>
          <t>Bear joiner ready means: you own the hero, it is at 4 stars or more, and its first Expedition skill is level 5. Whether that first skill actually adds damage depends on the hero, so check the hero guide before relying on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12" customWidth="1" min="3" max="3"/>
    <col width="9" customWidth="1" min="4" max="4"/>
    <col width="22" customWidth="1" min="5" max="5"/>
    <col width="60" customWidth="1" min="6" max="6"/>
    <col width="34" customWidth="1" min="7" max="7"/>
    <col width="9" customWidth="1" min="8" max="8"/>
    <col width="9" customWidth="1" min="9" max="9"/>
    <col width="9" customWidth="1" min="10" max="10"/>
    <col width="9" customWidth="1" min="11" max="11"/>
    <col width="9" customWidth="1" min="12" max="12"/>
  </cols>
  <sheetData>
    <row r="1">
      <c r="A1" s="21" t="inlineStr">
        <is>
          <t>Hero</t>
        </is>
      </c>
      <c r="B1" s="21" t="inlineStr">
        <is>
          <t>Gen</t>
        </is>
      </c>
      <c r="C1" s="21" t="inlineStr">
        <is>
          <t>Type</t>
        </is>
      </c>
      <c r="D1" s="21" t="inlineStr">
        <is>
          <t>Skill no.</t>
        </is>
      </c>
      <c r="E1" s="21" t="inlineStr">
        <is>
          <t>Skill name</t>
        </is>
      </c>
      <c r="F1" s="21" t="inlineStr">
        <is>
          <t>What it does</t>
        </is>
      </c>
      <c r="G1" s="21" t="inlineStr">
        <is>
          <t>Value</t>
        </is>
      </c>
      <c r="H1" s="21" t="inlineStr">
        <is>
          <t>Lv 1</t>
        </is>
      </c>
      <c r="I1" s="21" t="inlineStr">
        <is>
          <t>Lv 2</t>
        </is>
      </c>
      <c r="J1" s="21" t="inlineStr">
        <is>
          <t>Lv 3</t>
        </is>
      </c>
      <c r="K1" s="21" t="inlineStr">
        <is>
          <t>Lv 4</t>
        </is>
      </c>
      <c r="L1" s="21" t="inlineStr">
        <is>
          <t>Lv 5</t>
        </is>
      </c>
    </row>
    <row r="2">
      <c r="A2" s="8" t="inlineStr">
        <is>
          <t>Jeronimo</t>
        </is>
      </c>
      <c r="B2" s="8" t="n">
        <v>1</v>
      </c>
      <c r="C2" s="8" t="inlineStr">
        <is>
          <t>Exploration</t>
        </is>
      </c>
      <c r="D2" s="8" t="n">
        <v>1</v>
      </c>
      <c r="E2" s="8" t="inlineStr">
        <is>
          <t>Combo Slash</t>
        </is>
      </c>
      <c r="F2" s="8" t="inlineStr">
        <is>
          <t>Launches enemies in the area into the air, then follows up with three slashes.</t>
        </is>
      </c>
      <c r="G2" s="8" t="inlineStr">
        <is>
          <t>Damage per slash (x Attack)</t>
        </is>
      </c>
      <c r="H2" s="13" t="inlineStr">
        <is>
          <t>160%</t>
        </is>
      </c>
      <c r="I2" s="13" t="inlineStr">
        <is>
          <t>176%</t>
        </is>
      </c>
      <c r="J2" s="13" t="inlineStr">
        <is>
          <t>192%</t>
        </is>
      </c>
      <c r="K2" s="13" t="inlineStr">
        <is>
          <t>208%</t>
        </is>
      </c>
      <c r="L2" s="13" t="inlineStr">
        <is>
          <t>224%</t>
        </is>
      </c>
    </row>
    <row r="3">
      <c r="A3" s="8" t="inlineStr">
        <is>
          <t>Jeronimo</t>
        </is>
      </c>
      <c r="B3" s="8" t="n">
        <v>1</v>
      </c>
      <c r="C3" s="8" t="inlineStr">
        <is>
          <t>Exploration</t>
        </is>
      </c>
      <c r="D3" s="8" t="n">
        <v>2</v>
      </c>
      <c r="E3" s="8" t="inlineStr">
        <is>
          <t>Sword Art</t>
        </is>
      </c>
      <c r="F3" s="8" t="inlineStr">
        <is>
          <t>Each of his attacks sends out sword energy that hits enemies in a line ahead.</t>
        </is>
      </c>
      <c r="G3" s="8" t="inlineStr">
        <is>
          <t>Energy damage (x Attack)</t>
        </is>
      </c>
      <c r="H3" s="13" t="inlineStr">
        <is>
          <t>15%</t>
        </is>
      </c>
      <c r="I3" s="13" t="inlineStr">
        <is>
          <t>17%</t>
        </is>
      </c>
      <c r="J3" s="13" t="inlineStr">
        <is>
          <t>19%</t>
        </is>
      </c>
      <c r="K3" s="13" t="inlineStr">
        <is>
          <t>21%</t>
        </is>
      </c>
      <c r="L3" s="13" t="inlineStr">
        <is>
          <t>23%</t>
        </is>
      </c>
    </row>
    <row r="4">
      <c r="A4" s="8" t="inlineStr">
        <is>
          <t>Jeronimo</t>
        </is>
      </c>
      <c r="B4" s="8" t="n">
        <v>1</v>
      </c>
      <c r="C4" s="8" t="inlineStr">
        <is>
          <t>Exploration</t>
        </is>
      </c>
      <c r="D4" s="8" t="n">
        <v>3</v>
      </c>
      <c r="E4" s="8" t="inlineStr">
        <is>
          <t>Lone Wolf</t>
        </is>
      </c>
      <c r="F4" s="8" t="inlineStr">
        <is>
          <t>He hits harder while he is above 50% Health.</t>
        </is>
      </c>
      <c r="G4" s="8" t="inlineStr">
        <is>
          <t>Attack bonus</t>
        </is>
      </c>
      <c r="H4" s="13" t="inlineStr">
        <is>
          <t>16%</t>
        </is>
      </c>
      <c r="I4" s="13" t="inlineStr">
        <is>
          <t>24%</t>
        </is>
      </c>
      <c r="J4" s="13" t="inlineStr">
        <is>
          <t>32%</t>
        </is>
      </c>
      <c r="K4" s="13" t="inlineStr">
        <is>
          <t>40%</t>
        </is>
      </c>
      <c r="L4" s="13" t="inlineStr">
        <is>
          <t>48%</t>
        </is>
      </c>
    </row>
    <row r="5">
      <c r="A5" s="8" t="inlineStr">
        <is>
          <t>Jeronimo</t>
        </is>
      </c>
      <c r="B5" s="8" t="n">
        <v>1</v>
      </c>
      <c r="C5" s="8" t="inlineStr">
        <is>
          <t>Expedition</t>
        </is>
      </c>
      <c r="D5" s="8" t="n">
        <v>1</v>
      </c>
      <c r="E5" s="8" t="inlineStr">
        <is>
          <t>Battle Manifesto</t>
        </is>
      </c>
      <c r="F5" s="8" t="inlineStr">
        <is>
          <t>Raises the damage your whole squad deals.</t>
        </is>
      </c>
      <c r="G5" s="8" t="inlineStr">
        <is>
          <t>Damage dealt bonus</t>
        </is>
      </c>
      <c r="H5" s="13" t="inlineStr">
        <is>
          <t>5%</t>
        </is>
      </c>
      <c r="I5" s="13" t="inlineStr">
        <is>
          <t>10%</t>
        </is>
      </c>
      <c r="J5" s="13" t="inlineStr">
        <is>
          <t>15%</t>
        </is>
      </c>
      <c r="K5" s="13" t="inlineStr">
        <is>
          <t>20%</t>
        </is>
      </c>
      <c r="L5" s="13" t="inlineStr">
        <is>
          <t>25%</t>
        </is>
      </c>
    </row>
    <row r="6">
      <c r="A6" s="8" t="inlineStr">
        <is>
          <t>Jeronimo</t>
        </is>
      </c>
      <c r="B6" s="8" t="n">
        <v>1</v>
      </c>
      <c r="C6" s="8" t="inlineStr">
        <is>
          <t>Expedition</t>
        </is>
      </c>
      <c r="D6" s="8" t="n">
        <v>2</v>
      </c>
      <c r="E6" s="8" t="inlineStr">
        <is>
          <t>Swordmentor</t>
        </is>
      </c>
      <c r="F6" s="8" t="inlineStr">
        <is>
          <t>Raises the Attack of every troop in your squad.</t>
        </is>
      </c>
      <c r="G6" s="8" t="inlineStr">
        <is>
          <t>Attack bonus</t>
        </is>
      </c>
      <c r="H6" s="13" t="inlineStr">
        <is>
          <t>5%</t>
        </is>
      </c>
      <c r="I6" s="13" t="inlineStr">
        <is>
          <t>10%</t>
        </is>
      </c>
      <c r="J6" s="13" t="inlineStr">
        <is>
          <t>15%</t>
        </is>
      </c>
      <c r="K6" s="13" t="inlineStr">
        <is>
          <t>20%</t>
        </is>
      </c>
      <c r="L6" s="13" t="inlineStr">
        <is>
          <t>25%</t>
        </is>
      </c>
    </row>
    <row r="7">
      <c r="A7" s="8" t="inlineStr">
        <is>
          <t>Jeronimo</t>
        </is>
      </c>
      <c r="B7" s="8" t="n">
        <v>1</v>
      </c>
      <c r="C7" s="8" t="inlineStr">
        <is>
          <t>Expedition</t>
        </is>
      </c>
      <c r="D7" s="8" t="n">
        <v>3</v>
      </c>
      <c r="E7" s="8" t="inlineStr">
        <is>
          <t>Expert Swordsmanship</t>
        </is>
      </c>
      <c r="F7" s="8" t="inlineStr">
        <is>
          <t>Every 4 turns, your squad gains a damage boost lasting 2 turns.</t>
        </is>
      </c>
      <c r="G7" s="8" t="inlineStr">
        <is>
          <t>Damage dealt bonus</t>
        </is>
      </c>
      <c r="H7" s="13" t="inlineStr">
        <is>
          <t>6%</t>
        </is>
      </c>
      <c r="I7" s="13" t="inlineStr">
        <is>
          <t>12%</t>
        </is>
      </c>
      <c r="J7" s="13" t="inlineStr">
        <is>
          <t>18%</t>
        </is>
      </c>
      <c r="K7" s="13" t="inlineStr">
        <is>
          <t>24%</t>
        </is>
      </c>
      <c r="L7" s="13" t="inlineStr">
        <is>
          <t>30%</t>
        </is>
      </c>
    </row>
    <row r="8">
      <c r="A8" s="8" t="inlineStr">
        <is>
          <t>Jeronimo</t>
        </is>
      </c>
      <c r="B8" s="8" t="n">
        <v>1</v>
      </c>
      <c r="C8" s="8" t="inlineStr">
        <is>
          <t>Expedition</t>
        </is>
      </c>
      <c r="D8" s="8" t="n">
        <v>4</v>
      </c>
      <c r="E8" s="8" t="inlineStr">
        <is>
          <t>Natural Leader</t>
        </is>
      </c>
      <c r="F8" s="8" t="inlineStr">
        <is>
          <t>A bonus fourth Expedition skill that boosts Lethality and Health for all troops.</t>
        </is>
      </c>
      <c r="G8" s="8" t="inlineStr">
        <is>
          <t>Lethality and Health bonus</t>
        </is>
      </c>
      <c r="H8" s="13" t="inlineStr">
        <is>
          <t>3%</t>
        </is>
      </c>
      <c r="I8" s="13" t="inlineStr">
        <is>
          <t>6%</t>
        </is>
      </c>
      <c r="J8" s="13" t="inlineStr">
        <is>
          <t>9%</t>
        </is>
      </c>
      <c r="K8" s="13" t="inlineStr">
        <is>
          <t>12%</t>
        </is>
      </c>
      <c r="L8" s="13" t="inlineStr">
        <is>
          <t>15%</t>
        </is>
      </c>
    </row>
    <row r="9">
      <c r="A9" s="8" t="inlineStr">
        <is>
          <t>Molly</t>
        </is>
      </c>
      <c r="B9" s="8" t="n">
        <v>1</v>
      </c>
      <c r="C9" s="8" t="inlineStr">
        <is>
          <t>Exploration</t>
        </is>
      </c>
      <c r="D9" s="8" t="n">
        <v>1</v>
      </c>
      <c r="E9" s="8" t="inlineStr">
        <is>
          <t>Super Snowball</t>
        </is>
      </c>
      <c r="F9" s="8" t="inlineStr">
        <is>
          <t>Throws a big snowball that damages an area and freezes everything it hits for 1.5 seconds.</t>
        </is>
      </c>
      <c r="G9" s="8" t="inlineStr">
        <is>
          <t>Area damage (x Attack)</t>
        </is>
      </c>
      <c r="H9" s="13" t="inlineStr">
        <is>
          <t>180%</t>
        </is>
      </c>
      <c r="I9" s="13" t="inlineStr">
        <is>
          <t>198%</t>
        </is>
      </c>
      <c r="J9" s="13" t="inlineStr">
        <is>
          <t>216%</t>
        </is>
      </c>
      <c r="K9" s="13" t="inlineStr">
        <is>
          <t>234%</t>
        </is>
      </c>
      <c r="L9" s="13" t="inlineStr">
        <is>
          <t>252%</t>
        </is>
      </c>
    </row>
    <row r="10">
      <c r="A10" s="8" t="inlineStr">
        <is>
          <t>Molly</t>
        </is>
      </c>
      <c r="B10" s="8" t="n">
        <v>1</v>
      </c>
      <c r="C10" s="8" t="inlineStr">
        <is>
          <t>Exploration</t>
        </is>
      </c>
      <c r="D10" s="8" t="n">
        <v>2</v>
      </c>
      <c r="E10" s="8" t="inlineStr">
        <is>
          <t>Frost Ambush</t>
        </is>
      </c>
      <c r="F10" s="8" t="inlineStr">
        <is>
          <t>A surprise strike on the target for solid single-target damage.</t>
        </is>
      </c>
      <c r="G10" s="8" t="inlineStr">
        <is>
          <t>Damage (x Attack)</t>
        </is>
      </c>
      <c r="H10" s="13" t="inlineStr">
        <is>
          <t>150%</t>
        </is>
      </c>
      <c r="I10" s="13" t="inlineStr">
        <is>
          <t>165%</t>
        </is>
      </c>
      <c r="J10" s="13" t="inlineStr">
        <is>
          <t>180%</t>
        </is>
      </c>
      <c r="K10" s="13" t="inlineStr">
        <is>
          <t>195%</t>
        </is>
      </c>
      <c r="L10" s="13" t="inlineStr">
        <is>
          <t>210%</t>
        </is>
      </c>
    </row>
    <row r="11">
      <c r="A11" s="8" t="inlineStr">
        <is>
          <t>Molly</t>
        </is>
      </c>
      <c r="B11" s="8" t="n">
        <v>1</v>
      </c>
      <c r="C11" s="8" t="inlineStr">
        <is>
          <t>Exploration</t>
        </is>
      </c>
      <c r="D11" s="8" t="n">
        <v>3</v>
      </c>
      <c r="E11" s="8" t="inlineStr">
        <is>
          <t>Youthful Persistence</t>
        </is>
      </c>
      <c r="F11" s="8" t="inlineStr">
        <is>
          <t>When her Health drops below 50%, she attacks faster.</t>
        </is>
      </c>
      <c r="G11" s="8" t="inlineStr">
        <is>
          <t>Attack Speed bonus</t>
        </is>
      </c>
      <c r="H11" s="13" t="inlineStr">
        <is>
          <t>20%</t>
        </is>
      </c>
      <c r="I11" s="13" t="inlineStr">
        <is>
          <t>30%</t>
        </is>
      </c>
      <c r="J11" s="13" t="inlineStr">
        <is>
          <t>40%</t>
        </is>
      </c>
      <c r="K11" s="13" t="inlineStr">
        <is>
          <t>50%</t>
        </is>
      </c>
      <c r="L11" s="13" t="inlineStr">
        <is>
          <t>60%</t>
        </is>
      </c>
    </row>
    <row r="12">
      <c r="A12" s="8" t="inlineStr">
        <is>
          <t>Molly</t>
        </is>
      </c>
      <c r="B12" s="8" t="n">
        <v>1</v>
      </c>
      <c r="C12" s="8" t="inlineStr">
        <is>
          <t>Expedition</t>
        </is>
      </c>
      <c r="D12" s="8" t="n">
        <v>1</v>
      </c>
      <c r="E12" s="8" t="inlineStr">
        <is>
          <t>Snow's Grace</t>
        </is>
      </c>
      <c r="F12" s="8" t="inlineStr">
        <is>
          <t>40% chance to reduce the damage your whole squad takes.</t>
        </is>
      </c>
      <c r="G12" s="8" t="inlineStr">
        <is>
          <t>Damage taken reduction on proc</t>
        </is>
      </c>
      <c r="H12" s="13" t="inlineStr">
        <is>
          <t>10%</t>
        </is>
      </c>
      <c r="I12" s="13" t="inlineStr">
        <is>
          <t>20%</t>
        </is>
      </c>
      <c r="J12" s="13" t="inlineStr">
        <is>
          <t>30%</t>
        </is>
      </c>
      <c r="K12" s="13" t="inlineStr">
        <is>
          <t>40%</t>
        </is>
      </c>
      <c r="L12" s="13" t="inlineStr">
        <is>
          <t>50%</t>
        </is>
      </c>
    </row>
    <row r="13">
      <c r="A13" s="8" t="inlineStr">
        <is>
          <t>Molly</t>
        </is>
      </c>
      <c r="B13" s="8" t="n">
        <v>1</v>
      </c>
      <c r="C13" s="8" t="inlineStr">
        <is>
          <t>Expedition</t>
        </is>
      </c>
      <c r="D13" s="8" t="n">
        <v>2</v>
      </c>
      <c r="E13" s="8" t="inlineStr">
        <is>
          <t>Ice Dominion</t>
        </is>
      </c>
      <c r="F13" s="8" t="inlineStr">
        <is>
          <t>Each troop attack has a 50% chance to deal extra damage.</t>
        </is>
      </c>
      <c r="G13" s="8" t="inlineStr">
        <is>
          <t>Extra damage on proc</t>
        </is>
      </c>
      <c r="H13" s="13" t="inlineStr">
        <is>
          <t>10%</t>
        </is>
      </c>
      <c r="I13" s="13" t="inlineStr">
        <is>
          <t>20%</t>
        </is>
      </c>
      <c r="J13" s="13" t="inlineStr">
        <is>
          <t>30%</t>
        </is>
      </c>
      <c r="K13" s="13" t="inlineStr">
        <is>
          <t>40%</t>
        </is>
      </c>
      <c r="L13" s="13" t="inlineStr">
        <is>
          <t>50%</t>
        </is>
      </c>
    </row>
    <row r="14">
      <c r="A14" s="8" t="inlineStr">
        <is>
          <t>Molly</t>
        </is>
      </c>
      <c r="B14" s="8" t="n">
        <v>1</v>
      </c>
      <c r="C14" s="8" t="inlineStr">
        <is>
          <t>Expedition</t>
        </is>
      </c>
      <c r="D14" s="8" t="n">
        <v>3</v>
      </c>
      <c r="E14" s="8" t="inlineStr">
        <is>
          <t>Youthful Rage</t>
        </is>
      </c>
      <c r="F14" s="8" t="inlineStr">
        <is>
          <t>A flat boost to the damage your squad deals.</t>
        </is>
      </c>
      <c r="G14" s="8" t="inlineStr">
        <is>
          <t>Damage dealt bonus</t>
        </is>
      </c>
      <c r="H14" s="13" t="inlineStr">
        <is>
          <t>5%</t>
        </is>
      </c>
      <c r="I14" s="13" t="inlineStr">
        <is>
          <t>10%</t>
        </is>
      </c>
      <c r="J14" s="13" t="inlineStr">
        <is>
          <t>15%</t>
        </is>
      </c>
      <c r="K14" s="13" t="inlineStr">
        <is>
          <t>20%</t>
        </is>
      </c>
      <c r="L14" s="13" t="inlineStr">
        <is>
          <t>25%</t>
        </is>
      </c>
    </row>
    <row r="15">
      <c r="A15" s="8" t="inlineStr">
        <is>
          <t>Natalia</t>
        </is>
      </c>
      <c r="B15" s="8" t="n">
        <v>1</v>
      </c>
      <c r="C15" s="8" t="inlineStr">
        <is>
          <t>Exploration</t>
        </is>
      </c>
      <c r="D15" s="8" t="n">
        <v>1</v>
      </c>
      <c r="E15" s="8" t="inlineStr">
        <is>
          <t>Beast Charge</t>
        </is>
      </c>
      <c r="F15" s="8" t="inlineStr">
        <is>
          <t>Her bear slams the ground, knocking enemies back and stunning them for 1 second while dealing area damage.</t>
        </is>
      </c>
      <c r="G15" s="8" t="inlineStr">
        <is>
          <t>Area damage (x Attack)</t>
        </is>
      </c>
      <c r="H15" s="13" t="inlineStr">
        <is>
          <t>160%</t>
        </is>
      </c>
      <c r="I15" s="13" t="inlineStr">
        <is>
          <t>176%</t>
        </is>
      </c>
      <c r="J15" s="13" t="inlineStr">
        <is>
          <t>192%</t>
        </is>
      </c>
      <c r="K15" s="13" t="inlineStr">
        <is>
          <t>208%</t>
        </is>
      </c>
      <c r="L15" s="13" t="inlineStr">
        <is>
          <t>224%</t>
        </is>
      </c>
    </row>
    <row r="16">
      <c r="A16" s="8" t="inlineStr">
        <is>
          <t>Natalia</t>
        </is>
      </c>
      <c r="B16" s="8" t="n">
        <v>1</v>
      </c>
      <c r="C16" s="8" t="inlineStr">
        <is>
          <t>Exploration</t>
        </is>
      </c>
      <c r="D16" s="8" t="n">
        <v>2</v>
      </c>
      <c r="E16" s="8" t="inlineStr">
        <is>
          <t>Whip</t>
        </is>
      </c>
      <c r="F16" s="8" t="inlineStr">
        <is>
          <t>A whip strike on a single target.</t>
        </is>
      </c>
      <c r="G16" s="8" t="inlineStr">
        <is>
          <t>Damage (x Attack)</t>
        </is>
      </c>
      <c r="H16" s="13" t="inlineStr">
        <is>
          <t>150%</t>
        </is>
      </c>
      <c r="I16" s="13" t="inlineStr">
        <is>
          <t>165%</t>
        </is>
      </c>
      <c r="J16" s="13" t="inlineStr">
        <is>
          <t>180%</t>
        </is>
      </c>
      <c r="K16" s="13" t="inlineStr">
        <is>
          <t>195%</t>
        </is>
      </c>
      <c r="L16" s="13" t="inlineStr">
        <is>
          <t>210%</t>
        </is>
      </c>
    </row>
    <row r="17">
      <c r="A17" s="8" t="inlineStr">
        <is>
          <t>Natalia</t>
        </is>
      </c>
      <c r="B17" s="8" t="n">
        <v>1</v>
      </c>
      <c r="C17" s="8" t="inlineStr">
        <is>
          <t>Exploration</t>
        </is>
      </c>
      <c r="D17" s="8" t="n">
        <v>3</v>
      </c>
      <c r="E17" s="8" t="inlineStr">
        <is>
          <t>Rage Response</t>
        </is>
      </c>
      <c r="F17" s="8" t="inlineStr">
        <is>
          <t>Each time she takes damage she has a 10% chance to gain an Attack boost for 3 seconds. It can stack up to 5 times.</t>
        </is>
      </c>
      <c r="G17" s="8" t="inlineStr">
        <is>
          <t>Attack bonus per stack</t>
        </is>
      </c>
      <c r="H17" s="13" t="inlineStr">
        <is>
          <t>4%</t>
        </is>
      </c>
      <c r="I17" s="13" t="inlineStr">
        <is>
          <t>6%</t>
        </is>
      </c>
      <c r="J17" s="13" t="inlineStr">
        <is>
          <t>8%</t>
        </is>
      </c>
      <c r="K17" s="13" t="inlineStr">
        <is>
          <t>10%</t>
        </is>
      </c>
      <c r="L17" s="13" t="inlineStr">
        <is>
          <t>12%</t>
        </is>
      </c>
    </row>
    <row r="18">
      <c r="A18" s="8" t="inlineStr">
        <is>
          <t>Natalia</t>
        </is>
      </c>
      <c r="B18" s="8" t="n">
        <v>1</v>
      </c>
      <c r="C18" s="8" t="inlineStr">
        <is>
          <t>Expedition</t>
        </is>
      </c>
      <c r="D18" s="8" t="n">
        <v>1</v>
      </c>
      <c r="E18" s="8" t="inlineStr">
        <is>
          <t>Feral Protection</t>
        </is>
      </c>
      <c r="F18" s="8" t="inlineStr">
        <is>
          <t>40% chance to reduce the damage your whole squad takes.</t>
        </is>
      </c>
      <c r="G18" s="8" t="inlineStr">
        <is>
          <t>Damage taken reduction on proc</t>
        </is>
      </c>
      <c r="H18" s="13" t="inlineStr">
        <is>
          <t>10%</t>
        </is>
      </c>
      <c r="I18" s="13" t="inlineStr">
        <is>
          <t>20%</t>
        </is>
      </c>
      <c r="J18" s="13" t="inlineStr">
        <is>
          <t>30%</t>
        </is>
      </c>
      <c r="K18" s="13" t="inlineStr">
        <is>
          <t>40%</t>
        </is>
      </c>
      <c r="L18" s="13" t="inlineStr">
        <is>
          <t>50%</t>
        </is>
      </c>
    </row>
    <row r="19">
      <c r="A19" s="8" t="inlineStr">
        <is>
          <t>Natalia</t>
        </is>
      </c>
      <c r="B19" s="8" t="n">
        <v>1</v>
      </c>
      <c r="C19" s="8" t="inlineStr">
        <is>
          <t>Expedition</t>
        </is>
      </c>
      <c r="D19" s="8" t="n">
        <v>2</v>
      </c>
      <c r="E19" s="8" t="inlineStr">
        <is>
          <t>Queen of the Wild</t>
        </is>
      </c>
      <c r="F19" s="8" t="inlineStr">
        <is>
          <t>Raises the Attack of every troop in your squad.</t>
        </is>
      </c>
      <c r="G19" s="8" t="inlineStr">
        <is>
          <t>Attack bonus</t>
        </is>
      </c>
      <c r="H19" s="13" t="inlineStr">
        <is>
          <t>5%</t>
        </is>
      </c>
      <c r="I19" s="13" t="inlineStr">
        <is>
          <t>10%</t>
        </is>
      </c>
      <c r="J19" s="13" t="inlineStr">
        <is>
          <t>15%</t>
        </is>
      </c>
      <c r="K19" s="13" t="inlineStr">
        <is>
          <t>20%</t>
        </is>
      </c>
      <c r="L19" s="13" t="inlineStr">
        <is>
          <t>25%</t>
        </is>
      </c>
    </row>
    <row r="20">
      <c r="A20" s="8" t="inlineStr">
        <is>
          <t>Natalia</t>
        </is>
      </c>
      <c r="B20" s="8" t="n">
        <v>1</v>
      </c>
      <c r="C20" s="8" t="inlineStr">
        <is>
          <t>Expedition</t>
        </is>
      </c>
      <c r="D20" s="8" t="n">
        <v>3</v>
      </c>
      <c r="E20" s="8" t="inlineStr">
        <is>
          <t>Call of the Wild</t>
        </is>
      </c>
      <c r="F20" s="8" t="inlineStr">
        <is>
          <t>Raises the damage every troop in your squad deals.</t>
        </is>
      </c>
      <c r="G20" s="8" t="inlineStr">
        <is>
          <t>Damage dealt bonus</t>
        </is>
      </c>
      <c r="H20" s="13" t="inlineStr">
        <is>
          <t>5%</t>
        </is>
      </c>
      <c r="I20" s="13" t="inlineStr">
        <is>
          <t>10%</t>
        </is>
      </c>
      <c r="J20" s="13" t="inlineStr">
        <is>
          <t>15%</t>
        </is>
      </c>
      <c r="K20" s="13" t="inlineStr">
        <is>
          <t>20%</t>
        </is>
      </c>
      <c r="L20" s="13" t="inlineStr">
        <is>
          <t>25%</t>
        </is>
      </c>
    </row>
    <row r="21">
      <c r="A21" s="8" t="inlineStr">
        <is>
          <t>Natalia</t>
        </is>
      </c>
      <c r="B21" s="8" t="n">
        <v>1</v>
      </c>
      <c r="C21" s="8" t="inlineStr">
        <is>
          <t>Expedition</t>
        </is>
      </c>
      <c r="D21" s="8" t="n">
        <v>4</v>
      </c>
      <c r="E21" s="8" t="inlineStr">
        <is>
          <t>Ursus Strength</t>
        </is>
      </c>
      <c r="F21" s="8" t="inlineStr">
        <is>
          <t>A bonus fourth Expedition skill that raises Attack and Defense for all troops. It works even when she is not on the field.</t>
        </is>
      </c>
      <c r="G21" s="8" t="inlineStr">
        <is>
          <t>Attack and Defense bonus</t>
        </is>
      </c>
      <c r="H21" s="13" t="inlineStr">
        <is>
          <t>2%</t>
        </is>
      </c>
      <c r="I21" s="13" t="inlineStr">
        <is>
          <t>4%</t>
        </is>
      </c>
      <c r="J21" s="13" t="inlineStr">
        <is>
          <t>6%</t>
        </is>
      </c>
      <c r="K21" s="13" t="inlineStr">
        <is>
          <t>8%</t>
        </is>
      </c>
      <c r="L21" s="13" t="inlineStr">
        <is>
          <t>10%</t>
        </is>
      </c>
    </row>
    <row r="22">
      <c r="A22" s="8" t="inlineStr">
        <is>
          <t>Zinman</t>
        </is>
      </c>
      <c r="B22" s="8" t="n">
        <v>1</v>
      </c>
      <c r="C22" s="8" t="inlineStr">
        <is>
          <t>Exploration</t>
        </is>
      </c>
      <c r="D22" s="8" t="n">
        <v>1</v>
      </c>
      <c r="E22" s="8" t="inlineStr">
        <is>
          <t>Nail Scatter</t>
        </is>
      </c>
      <c r="F22" s="8" t="inlineStr">
        <is>
          <t>Pelts the target with nails that damage it and stun it for 2 seconds.</t>
        </is>
      </c>
      <c r="G22" s="8" t="inlineStr">
        <is>
          <t>Damage per nail (x Attack)</t>
        </is>
      </c>
      <c r="H22" s="13" t="inlineStr">
        <is>
          <t>55%</t>
        </is>
      </c>
      <c r="I22" s="13" t="inlineStr">
        <is>
          <t>60%</t>
        </is>
      </c>
      <c r="J22" s="13" t="inlineStr">
        <is>
          <t>65%</t>
        </is>
      </c>
      <c r="K22" s="13" t="inlineStr">
        <is>
          <t>70%</t>
        </is>
      </c>
      <c r="L22" s="13" t="inlineStr">
        <is>
          <t>75%</t>
        </is>
      </c>
    </row>
    <row r="23">
      <c r="A23" s="8" t="inlineStr">
        <is>
          <t>Zinman</t>
        </is>
      </c>
      <c r="B23" s="8" t="n">
        <v>1</v>
      </c>
      <c r="C23" s="8" t="inlineStr">
        <is>
          <t>Exploration</t>
        </is>
      </c>
      <c r="D23" s="8" t="n">
        <v>2</v>
      </c>
      <c r="E23" s="8" t="inlineStr">
        <is>
          <t>Quick Defense</t>
        </is>
      </c>
      <c r="F23" s="8" t="inlineStr">
        <is>
          <t>Once his Health drops below 50% he fortifies himself with a large Defense boost.</t>
        </is>
      </c>
      <c r="G23" s="8" t="inlineStr">
        <is>
          <t>Defense bonus</t>
        </is>
      </c>
      <c r="H23" s="13" t="inlineStr">
        <is>
          <t>50%</t>
        </is>
      </c>
      <c r="I23" s="13" t="inlineStr">
        <is>
          <t>75%</t>
        </is>
      </c>
      <c r="J23" s="13" t="inlineStr">
        <is>
          <t>100%</t>
        </is>
      </c>
      <c r="K23" s="13" t="inlineStr">
        <is>
          <t>125%</t>
        </is>
      </c>
      <c r="L23" s="13" t="inlineStr">
        <is>
          <t>150%</t>
        </is>
      </c>
    </row>
    <row r="24">
      <c r="A24" s="8" t="inlineStr">
        <is>
          <t>Zinman</t>
        </is>
      </c>
      <c r="B24" s="8" t="n">
        <v>1</v>
      </c>
      <c r="C24" s="8" t="inlineStr">
        <is>
          <t>Exploration</t>
        </is>
      </c>
      <c r="D24" s="8" t="n">
        <v>3</v>
      </c>
      <c r="E24" s="8" t="inlineStr">
        <is>
          <t>Robust</t>
        </is>
      </c>
      <c r="F24" s="8" t="inlineStr">
        <is>
          <t>Boosts his Attack Speed.</t>
        </is>
      </c>
      <c r="G24" s="8" t="inlineStr">
        <is>
          <t>Attack Speed bonus</t>
        </is>
      </c>
      <c r="H24" s="13" t="inlineStr">
        <is>
          <t>10%</t>
        </is>
      </c>
      <c r="I24" s="13" t="inlineStr">
        <is>
          <t>15%</t>
        </is>
      </c>
      <c r="J24" s="13" t="inlineStr">
        <is>
          <t>20%</t>
        </is>
      </c>
      <c r="K24" s="13" t="inlineStr">
        <is>
          <t>25%</t>
        </is>
      </c>
      <c r="L24" s="13" t="inlineStr">
        <is>
          <t>30%</t>
        </is>
      </c>
    </row>
    <row r="25">
      <c r="A25" s="8" t="inlineStr">
        <is>
          <t>Zinman</t>
        </is>
      </c>
      <c r="B25" s="8" t="n">
        <v>1</v>
      </c>
      <c r="C25" s="8" t="inlineStr">
        <is>
          <t>Expedition</t>
        </is>
      </c>
      <c r="D25" s="8" t="n">
        <v>1</v>
      </c>
      <c r="E25" s="8" t="inlineStr">
        <is>
          <t>Implacable</t>
        </is>
      </c>
      <c r="F25" s="8" t="inlineStr">
        <is>
          <t>Raises both Defense and Health for every troop in your squad.</t>
        </is>
      </c>
      <c r="G25" s="8" t="inlineStr">
        <is>
          <t>Defense bonus</t>
        </is>
      </c>
      <c r="H25" s="13" t="inlineStr">
        <is>
          <t>2%</t>
        </is>
      </c>
      <c r="I25" s="13" t="inlineStr">
        <is>
          <t>4%</t>
        </is>
      </c>
      <c r="J25" s="13" t="inlineStr">
        <is>
          <t>6%</t>
        </is>
      </c>
      <c r="K25" s="13" t="inlineStr">
        <is>
          <t>8%</t>
        </is>
      </c>
      <c r="L25" s="13" t="inlineStr">
        <is>
          <t>10%</t>
        </is>
      </c>
    </row>
    <row r="26">
      <c r="A26" s="8" t="inlineStr">
        <is>
          <t>Zinman</t>
        </is>
      </c>
      <c r="B26" s="8" t="n">
        <v>1</v>
      </c>
      <c r="C26" s="8" t="inlineStr">
        <is>
          <t>Expedition</t>
        </is>
      </c>
      <c r="D26" s="8" t="n">
        <v>1</v>
      </c>
      <c r="E26" s="8" t="inlineStr">
        <is>
          <t>Implacable</t>
        </is>
      </c>
      <c r="F26" s="8" t="inlineStr">
        <is>
          <t>Raises both Defense and Health for every troop in your squad.</t>
        </is>
      </c>
      <c r="G26" s="8" t="inlineStr">
        <is>
          <t>Health bonus</t>
        </is>
      </c>
      <c r="H26" s="13" t="inlineStr">
        <is>
          <t>2%</t>
        </is>
      </c>
      <c r="I26" s="13" t="inlineStr">
        <is>
          <t>4%</t>
        </is>
      </c>
      <c r="J26" s="13" t="inlineStr">
        <is>
          <t>6%</t>
        </is>
      </c>
      <c r="K26" s="13" t="inlineStr">
        <is>
          <t>8%</t>
        </is>
      </c>
      <c r="L26" s="13" t="inlineStr">
        <is>
          <t>10%</t>
        </is>
      </c>
    </row>
    <row r="27">
      <c r="A27" s="8" t="inlineStr">
        <is>
          <t>Zinman</t>
        </is>
      </c>
      <c r="B27" s="8" t="n">
        <v>1</v>
      </c>
      <c r="C27" s="8" t="inlineStr">
        <is>
          <t>Expedition</t>
        </is>
      </c>
      <c r="D27" s="8" t="n">
        <v>2</v>
      </c>
      <c r="E27" s="8" t="inlineStr">
        <is>
          <t>Bastionist</t>
        </is>
      </c>
      <c r="F27" s="8" t="inlineStr">
        <is>
          <t>Cuts basic resource costs (Meat, Wood, Coal, Iron) and speeds up building upgrades. A city perk.</t>
        </is>
      </c>
      <c r="G27" s="8" t="inlineStr">
        <is>
          <t>Resource cost reduction</t>
        </is>
      </c>
      <c r="H27" s="13" t="inlineStr">
        <is>
          <t>3%</t>
        </is>
      </c>
      <c r="I27" s="13" t="inlineStr">
        <is>
          <t>6%</t>
        </is>
      </c>
      <c r="J27" s="13" t="inlineStr">
        <is>
          <t>9%</t>
        </is>
      </c>
      <c r="K27" s="13" t="inlineStr">
        <is>
          <t>12%</t>
        </is>
      </c>
      <c r="L27" s="13" t="inlineStr">
        <is>
          <t>15%</t>
        </is>
      </c>
    </row>
    <row r="28">
      <c r="A28" s="8" t="inlineStr">
        <is>
          <t>Zinman</t>
        </is>
      </c>
      <c r="B28" s="8" t="n">
        <v>1</v>
      </c>
      <c r="C28" s="8" t="inlineStr">
        <is>
          <t>Expedition</t>
        </is>
      </c>
      <c r="D28" s="8" t="n">
        <v>2</v>
      </c>
      <c r="E28" s="8" t="inlineStr">
        <is>
          <t>Bastionist</t>
        </is>
      </c>
      <c r="F28" s="8" t="inlineStr">
        <is>
          <t>Cuts basic resource costs (Meat, Wood, Coal, Iron) and speeds up building upgrades. A city perk.</t>
        </is>
      </c>
      <c r="G28" s="8" t="inlineStr">
        <is>
          <t>Building upgrade speed</t>
        </is>
      </c>
      <c r="H28" s="13" t="inlineStr">
        <is>
          <t>3%</t>
        </is>
      </c>
      <c r="I28" s="13" t="inlineStr">
        <is>
          <t>6%</t>
        </is>
      </c>
      <c r="J28" s="13" t="inlineStr">
        <is>
          <t>9%</t>
        </is>
      </c>
      <c r="K28" s="13" t="inlineStr">
        <is>
          <t>12%</t>
        </is>
      </c>
      <c r="L28" s="13" t="inlineStr">
        <is>
          <t>15%</t>
        </is>
      </c>
    </row>
    <row r="29">
      <c r="A29" s="8" t="inlineStr">
        <is>
          <t>Zinman</t>
        </is>
      </c>
      <c r="B29" s="8" t="n">
        <v>1</v>
      </c>
      <c r="C29" s="8" t="inlineStr">
        <is>
          <t>Expedition</t>
        </is>
      </c>
      <c r="D29" s="8" t="n">
        <v>3</v>
      </c>
      <c r="E29" s="8" t="inlineStr">
        <is>
          <t>Positional Battler</t>
        </is>
      </c>
      <c r="F29" s="8" t="inlineStr">
        <is>
          <t>Raises the Lethality of every troop in your squad.</t>
        </is>
      </c>
      <c r="G29" s="8" t="inlineStr">
        <is>
          <t>Lethality bonus</t>
        </is>
      </c>
      <c r="H29" s="13" t="inlineStr">
        <is>
          <t>5%</t>
        </is>
      </c>
      <c r="I29" s="13" t="inlineStr">
        <is>
          <t>10%</t>
        </is>
      </c>
      <c r="J29" s="13" t="inlineStr">
        <is>
          <t>15%</t>
        </is>
      </c>
      <c r="K29" s="13" t="inlineStr">
        <is>
          <t>20%</t>
        </is>
      </c>
      <c r="L29" s="13" t="inlineStr">
        <is>
          <t>25%</t>
        </is>
      </c>
    </row>
    <row r="30">
      <c r="A30" s="8" t="inlineStr">
        <is>
          <t>Bahiti</t>
        </is>
      </c>
      <c r="B30" s="8" t="n">
        <v>1</v>
      </c>
      <c r="C30" s="8" t="inlineStr">
        <is>
          <t>Exploration</t>
        </is>
      </c>
      <c r="D30" s="8" t="n">
        <v>1</v>
      </c>
      <c r="E30" s="8" t="inlineStr">
        <is>
          <t>Precise Shot</t>
        </is>
      </c>
      <c r="F30" s="8" t="inlineStr">
        <is>
          <t>A precision shot at one target that hits for a large multiple of his Attack.</t>
        </is>
      </c>
      <c r="G30" s="8" t="inlineStr">
        <is>
          <t>Damage (x Attack)</t>
        </is>
      </c>
      <c r="H30" s="13" t="inlineStr">
        <is>
          <t>400%</t>
        </is>
      </c>
      <c r="I30" s="13" t="inlineStr">
        <is>
          <t>440%</t>
        </is>
      </c>
      <c r="J30" s="13" t="inlineStr">
        <is>
          <t>480%</t>
        </is>
      </c>
      <c r="K30" s="13" t="inlineStr">
        <is>
          <t>520%</t>
        </is>
      </c>
      <c r="L30" s="13" t="inlineStr">
        <is>
          <t>560%</t>
        </is>
      </c>
    </row>
    <row r="31">
      <c r="A31" s="8" t="inlineStr">
        <is>
          <t>Bahiti</t>
        </is>
      </c>
      <c r="B31" s="8" t="n">
        <v>1</v>
      </c>
      <c r="C31" s="8" t="inlineStr">
        <is>
          <t>Exploration</t>
        </is>
      </c>
      <c r="D31" s="8" t="n">
        <v>2</v>
      </c>
      <c r="E31" s="8" t="inlineStr">
        <is>
          <t>Quick Shot</t>
        </is>
      </c>
      <c r="F31" s="8" t="inlineStr">
        <is>
          <t>Boosts his own Attack Speed so he fires faster.</t>
        </is>
      </c>
      <c r="G31" s="8" t="inlineStr">
        <is>
          <t>Attack Speed</t>
        </is>
      </c>
      <c r="H31" s="13" t="inlineStr">
        <is>
          <t>10%</t>
        </is>
      </c>
      <c r="I31" s="13" t="inlineStr">
        <is>
          <t>15%</t>
        </is>
      </c>
      <c r="J31" s="13" t="inlineStr">
        <is>
          <t>20%</t>
        </is>
      </c>
      <c r="K31" s="13" t="inlineStr">
        <is>
          <t>25%</t>
        </is>
      </c>
      <c r="L31" s="13" t="inlineStr">
        <is>
          <t>30%</t>
        </is>
      </c>
    </row>
    <row r="32">
      <c r="A32" s="8" t="inlineStr">
        <is>
          <t>Bahiti</t>
        </is>
      </c>
      <c r="B32" s="8" t="n">
        <v>1</v>
      </c>
      <c r="C32" s="8" t="inlineStr">
        <is>
          <t>Exploration</t>
        </is>
      </c>
      <c r="D32" s="8" t="n">
        <v>3</v>
      </c>
      <c r="E32" s="8" t="inlineStr">
        <is>
          <t>Pathfinder Vision</t>
        </is>
      </c>
      <c r="F32" s="8" t="inlineStr">
        <is>
          <t>Adds a flat bonus to all damage he deals.</t>
        </is>
      </c>
      <c r="G32" s="8" t="inlineStr">
        <is>
          <t>Extra damage</t>
        </is>
      </c>
      <c r="H32" s="13" t="inlineStr">
        <is>
          <t>10%</t>
        </is>
      </c>
      <c r="I32" s="13" t="inlineStr">
        <is>
          <t>15%</t>
        </is>
      </c>
      <c r="J32" s="13" t="inlineStr">
        <is>
          <t>20%</t>
        </is>
      </c>
      <c r="K32" s="13" t="inlineStr">
        <is>
          <t>25%</t>
        </is>
      </c>
      <c r="L32" s="13" t="inlineStr">
        <is>
          <t>30%</t>
        </is>
      </c>
    </row>
    <row r="33">
      <c r="A33" s="8" t="inlineStr">
        <is>
          <t>Bahiti</t>
        </is>
      </c>
      <c r="B33" s="8" t="n">
        <v>1</v>
      </c>
      <c r="C33" s="8" t="inlineStr">
        <is>
          <t>Expedition</t>
        </is>
      </c>
      <c r="D33" s="8" t="n">
        <v>1</v>
      </c>
      <c r="E33" s="8" t="inlineStr">
        <is>
          <t>Sixth Sense</t>
        </is>
      </c>
      <c r="F33" s="8" t="inlineStr">
        <is>
          <t>Cuts the damage your whole squad takes in Expedition fights.</t>
        </is>
      </c>
      <c r="G33" s="8" t="inlineStr">
        <is>
          <t>Damage taken reduction</t>
        </is>
      </c>
      <c r="H33" s="13" t="inlineStr">
        <is>
          <t>4%</t>
        </is>
      </c>
      <c r="I33" s="13" t="inlineStr">
        <is>
          <t>8%</t>
        </is>
      </c>
      <c r="J33" s="13" t="inlineStr">
        <is>
          <t>12%</t>
        </is>
      </c>
      <c r="K33" s="13" t="inlineStr">
        <is>
          <t>16%</t>
        </is>
      </c>
      <c r="L33" s="13" t="inlineStr">
        <is>
          <t>20%</t>
        </is>
      </c>
    </row>
    <row r="34">
      <c r="A34" s="8" t="inlineStr">
        <is>
          <t>Bahiti</t>
        </is>
      </c>
      <c r="B34" s="8" t="n">
        <v>1</v>
      </c>
      <c r="C34" s="8" t="inlineStr">
        <is>
          <t>Expedition</t>
        </is>
      </c>
      <c r="D34" s="8" t="n">
        <v>2</v>
      </c>
      <c r="E34" s="8" t="inlineStr">
        <is>
          <t>Fluorescence</t>
        </is>
      </c>
      <c r="F34" s="8" t="inlineStr">
        <is>
          <t>Each troop attack has a 50% chance to hit harder.</t>
        </is>
      </c>
      <c r="G34" s="8" t="inlineStr">
        <is>
          <t>Extra damage on proc</t>
        </is>
      </c>
      <c r="H34" s="13" t="inlineStr">
        <is>
          <t>10%</t>
        </is>
      </c>
      <c r="I34" s="13" t="inlineStr">
        <is>
          <t>20%</t>
        </is>
      </c>
      <c r="J34" s="13" t="inlineStr">
        <is>
          <t>30%</t>
        </is>
      </c>
      <c r="K34" s="13" t="inlineStr">
        <is>
          <t>40%</t>
        </is>
      </c>
      <c r="L34" s="13" t="inlineStr">
        <is>
          <t>50%</t>
        </is>
      </c>
    </row>
    <row r="35">
      <c r="A35" s="8" t="inlineStr">
        <is>
          <t>Gina</t>
        </is>
      </c>
      <c r="B35" s="8" t="n">
        <v>1</v>
      </c>
      <c r="C35" s="8" t="inlineStr">
        <is>
          <t>Exploration</t>
        </is>
      </c>
      <c r="D35" s="8" t="n">
        <v>1</v>
      </c>
      <c r="E35" s="8" t="inlineStr">
        <is>
          <t>Incendiary Arrow</t>
        </is>
      </c>
      <c r="F35" s="8" t="inlineStr">
        <is>
          <t>Fires a flaming arrow that hits the target hard and splashes weaker damage on nearby enemies.</t>
        </is>
      </c>
      <c r="G35" s="8" t="inlineStr">
        <is>
          <t>Target damage (x Attack)</t>
        </is>
      </c>
      <c r="H35" s="13" t="inlineStr">
        <is>
          <t>210%</t>
        </is>
      </c>
      <c r="I35" s="13" t="inlineStr">
        <is>
          <t>230%</t>
        </is>
      </c>
      <c r="J35" s="13" t="inlineStr">
        <is>
          <t>250%</t>
        </is>
      </c>
      <c r="K35" s="13" t="inlineStr">
        <is>
          <t>270%</t>
        </is>
      </c>
      <c r="L35" s="13" t="inlineStr">
        <is>
          <t>290%</t>
        </is>
      </c>
    </row>
    <row r="36">
      <c r="A36" s="8" t="inlineStr">
        <is>
          <t>Gina</t>
        </is>
      </c>
      <c r="B36" s="8" t="n">
        <v>1</v>
      </c>
      <c r="C36" s="8" t="inlineStr">
        <is>
          <t>Exploration</t>
        </is>
      </c>
      <c r="D36" s="8" t="n">
        <v>1</v>
      </c>
      <c r="E36" s="8" t="inlineStr">
        <is>
          <t>Incendiary Arrow</t>
        </is>
      </c>
      <c r="F36" s="8" t="inlineStr">
        <is>
          <t>Fires a flaming arrow that hits the target hard and splashes weaker damage on nearby enemies.</t>
        </is>
      </c>
      <c r="G36" s="8" t="inlineStr">
        <is>
          <t>Splash damage (x Attack)</t>
        </is>
      </c>
      <c r="H36" s="13" t="inlineStr">
        <is>
          <t>70%</t>
        </is>
      </c>
      <c r="I36" s="13" t="inlineStr">
        <is>
          <t>77%</t>
        </is>
      </c>
      <c r="J36" s="13" t="inlineStr">
        <is>
          <t>84%</t>
        </is>
      </c>
      <c r="K36" s="13" t="inlineStr">
        <is>
          <t>91%</t>
        </is>
      </c>
      <c r="L36" s="13" t="inlineStr">
        <is>
          <t>98%</t>
        </is>
      </c>
    </row>
    <row r="37">
      <c r="A37" s="8" t="inlineStr">
        <is>
          <t>Gina</t>
        </is>
      </c>
      <c r="B37" s="8" t="n">
        <v>1</v>
      </c>
      <c r="C37" s="8" t="inlineStr">
        <is>
          <t>Exploration</t>
        </is>
      </c>
      <c r="D37" s="8" t="n">
        <v>2</v>
      </c>
      <c r="E37" s="8" t="inlineStr">
        <is>
          <t>Windtalker</t>
        </is>
      </c>
      <c r="F37" s="8" t="inlineStr">
        <is>
          <t>Boosts her Attack Speed.</t>
        </is>
      </c>
      <c r="G37" s="8" t="inlineStr">
        <is>
          <t>Attack Speed</t>
        </is>
      </c>
      <c r="H37" s="13" t="inlineStr">
        <is>
          <t>10%</t>
        </is>
      </c>
      <c r="I37" s="13" t="inlineStr">
        <is>
          <t>15%</t>
        </is>
      </c>
      <c r="J37" s="13" t="inlineStr">
        <is>
          <t>20%</t>
        </is>
      </c>
      <c r="K37" s="13" t="inlineStr">
        <is>
          <t>25%</t>
        </is>
      </c>
      <c r="L37" s="13" t="inlineStr">
        <is>
          <t>30%</t>
        </is>
      </c>
    </row>
    <row r="38">
      <c r="A38" s="8" t="inlineStr">
        <is>
          <t>Gina</t>
        </is>
      </c>
      <c r="B38" s="8" t="n">
        <v>1</v>
      </c>
      <c r="C38" s="8" t="inlineStr">
        <is>
          <t>Exploration</t>
        </is>
      </c>
      <c r="D38" s="8" t="n">
        <v>3</v>
      </c>
      <c r="E38" s="8" t="inlineStr">
        <is>
          <t>Eagle Eyes</t>
        </is>
      </c>
      <c r="F38" s="8" t="inlineStr">
        <is>
          <t>Makes her more likely to land critical hits.</t>
        </is>
      </c>
      <c r="G38" s="8" t="inlineStr">
        <is>
          <t>Crit Rate</t>
        </is>
      </c>
      <c r="H38" s="13" t="inlineStr">
        <is>
          <t>7%</t>
        </is>
      </c>
      <c r="I38" s="13" t="inlineStr">
        <is>
          <t>10%</t>
        </is>
      </c>
      <c r="J38" s="13" t="inlineStr">
        <is>
          <t>13%</t>
        </is>
      </c>
      <c r="K38" s="13" t="inlineStr">
        <is>
          <t>16%</t>
        </is>
      </c>
      <c r="L38" s="13" t="inlineStr">
        <is>
          <t>20%</t>
        </is>
      </c>
    </row>
    <row r="39">
      <c r="A39" s="8" t="inlineStr">
        <is>
          <t>Gina</t>
        </is>
      </c>
      <c r="B39" s="8" t="n">
        <v>1</v>
      </c>
      <c r="C39" s="8" t="inlineStr">
        <is>
          <t>Expedition</t>
        </is>
      </c>
      <c r="D39" s="8" t="n">
        <v>1</v>
      </c>
      <c r="E39" s="8" t="inlineStr">
        <is>
          <t>Endurance Training</t>
        </is>
      </c>
      <c r="F39" s="8" t="inlineStr">
        <is>
          <t>Lowers the Stamina cost of your actions. A utility perk.</t>
        </is>
      </c>
      <c r="G39" s="8" t="inlineStr">
        <is>
          <t>Stamina cost reduction</t>
        </is>
      </c>
      <c r="H39" s="13" t="inlineStr">
        <is>
          <t>10%</t>
        </is>
      </c>
      <c r="I39" s="13" t="inlineStr">
        <is>
          <t>12%</t>
        </is>
      </c>
      <c r="J39" s="13" t="inlineStr">
        <is>
          <t>15%</t>
        </is>
      </c>
      <c r="K39" s="13" t="inlineStr">
        <is>
          <t>18%</t>
        </is>
      </c>
      <c r="L39" s="13" t="inlineStr">
        <is>
          <t>20%</t>
        </is>
      </c>
    </row>
    <row r="40">
      <c r="A40" s="8" t="inlineStr">
        <is>
          <t>Gina</t>
        </is>
      </c>
      <c r="B40" s="8" t="n">
        <v>1</v>
      </c>
      <c r="C40" s="8" t="inlineStr">
        <is>
          <t>Expedition</t>
        </is>
      </c>
      <c r="D40" s="8" t="n">
        <v>2</v>
      </c>
      <c r="E40" s="8" t="inlineStr">
        <is>
          <t>Quick Paced</t>
        </is>
      </c>
      <c r="F40" s="8" t="inlineStr">
        <is>
          <t>Speeds up your wilderness marches. A utility perk.</t>
        </is>
      </c>
      <c r="G40" s="8" t="inlineStr">
        <is>
          <t>Wilderness march speed</t>
        </is>
      </c>
      <c r="H40" s="13" t="inlineStr">
        <is>
          <t>20%</t>
        </is>
      </c>
      <c r="I40" s="13" t="inlineStr">
        <is>
          <t>40%</t>
        </is>
      </c>
      <c r="J40" s="13" t="inlineStr">
        <is>
          <t>60%</t>
        </is>
      </c>
      <c r="K40" s="13" t="inlineStr">
        <is>
          <t>80%</t>
        </is>
      </c>
      <c r="L40" s="13" t="inlineStr">
        <is>
          <t>100%</t>
        </is>
      </c>
    </row>
    <row r="41">
      <c r="A41" s="8" t="inlineStr">
        <is>
          <t>Jasser</t>
        </is>
      </c>
      <c r="B41" s="8" t="n">
        <v>1</v>
      </c>
      <c r="C41" s="8" t="inlineStr">
        <is>
          <t>Exploration</t>
        </is>
      </c>
      <c r="D41" s="8" t="n">
        <v>1</v>
      </c>
      <c r="E41" s="8" t="inlineStr">
        <is>
          <t>Triple Volley</t>
        </is>
      </c>
      <c r="F41" s="8" t="inlineStr">
        <is>
          <t>Fires three shots in a row. The first is a flat 100% Attack, the second and third scale with level, and the third lands as area damage.</t>
        </is>
      </c>
      <c r="G41" s="8" t="inlineStr">
        <is>
          <t>Second shot (x Attack)</t>
        </is>
      </c>
      <c r="H41" s="13" t="inlineStr">
        <is>
          <t>125%</t>
        </is>
      </c>
      <c r="I41" s="13" t="inlineStr">
        <is>
          <t>137.5%</t>
        </is>
      </c>
      <c r="J41" s="13" t="inlineStr">
        <is>
          <t>150%</t>
        </is>
      </c>
      <c r="K41" s="13" t="inlineStr">
        <is>
          <t>162.5%</t>
        </is>
      </c>
      <c r="L41" s="13" t="inlineStr">
        <is>
          <t>175%</t>
        </is>
      </c>
    </row>
    <row r="42">
      <c r="A42" s="8" t="inlineStr">
        <is>
          <t>Jasser</t>
        </is>
      </c>
      <c r="B42" s="8" t="n">
        <v>1</v>
      </c>
      <c r="C42" s="8" t="inlineStr">
        <is>
          <t>Exploration</t>
        </is>
      </c>
      <c r="D42" s="8" t="n">
        <v>1</v>
      </c>
      <c r="E42" s="8" t="inlineStr">
        <is>
          <t>Triple Volley</t>
        </is>
      </c>
      <c r="F42" s="8" t="inlineStr">
        <is>
          <t>Fires three shots in a row. The first is a flat 100% Attack, the second and third scale with level, and the third lands as area damage.</t>
        </is>
      </c>
      <c r="G42" s="8" t="inlineStr">
        <is>
          <t>Third shot, area (x Attack)</t>
        </is>
      </c>
      <c r="H42" s="13" t="inlineStr">
        <is>
          <t>150%</t>
        </is>
      </c>
      <c r="I42" s="13" t="inlineStr">
        <is>
          <t>165%</t>
        </is>
      </c>
      <c r="J42" s="13" t="inlineStr">
        <is>
          <t>180%</t>
        </is>
      </c>
      <c r="K42" s="13" t="inlineStr">
        <is>
          <t>195%</t>
        </is>
      </c>
      <c r="L42" s="13" t="inlineStr">
        <is>
          <t>210%</t>
        </is>
      </c>
    </row>
    <row r="43">
      <c r="A43" s="8" t="inlineStr">
        <is>
          <t>Jasser</t>
        </is>
      </c>
      <c r="B43" s="8" t="n">
        <v>1</v>
      </c>
      <c r="C43" s="8" t="inlineStr">
        <is>
          <t>Exploration</t>
        </is>
      </c>
      <c r="D43" s="8" t="n">
        <v>2</v>
      </c>
      <c r="E43" s="8" t="inlineStr">
        <is>
          <t>Suppressive Fire</t>
        </is>
      </c>
      <c r="F43" s="8" t="inlineStr">
        <is>
          <t>A suppressing shot that damages the target and slows its Attack Speed for 2 seconds.</t>
        </is>
      </c>
      <c r="G43" s="8" t="inlineStr">
        <is>
          <t>Damage (x Attack)</t>
        </is>
      </c>
      <c r="H43" s="13" t="inlineStr">
        <is>
          <t>100%</t>
        </is>
      </c>
      <c r="I43" s="13" t="inlineStr">
        <is>
          <t>110%</t>
        </is>
      </c>
      <c r="J43" s="13" t="inlineStr">
        <is>
          <t>120%</t>
        </is>
      </c>
      <c r="K43" s="13" t="inlineStr">
        <is>
          <t>130%</t>
        </is>
      </c>
      <c r="L43" s="13" t="inlineStr">
        <is>
          <t>140%</t>
        </is>
      </c>
    </row>
    <row r="44">
      <c r="A44" s="8" t="inlineStr">
        <is>
          <t>Jasser</t>
        </is>
      </c>
      <c r="B44" s="8" t="n">
        <v>1</v>
      </c>
      <c r="C44" s="8" t="inlineStr">
        <is>
          <t>Exploration</t>
        </is>
      </c>
      <c r="D44" s="8" t="n">
        <v>2</v>
      </c>
      <c r="E44" s="8" t="inlineStr">
        <is>
          <t>Suppressive Fire</t>
        </is>
      </c>
      <c r="F44" s="8" t="inlineStr">
        <is>
          <t>A suppressing shot that damages the target and slows its Attack Speed for 2 seconds.</t>
        </is>
      </c>
      <c r="G44" s="8" t="inlineStr">
        <is>
          <t>Attack Speed slow</t>
        </is>
      </c>
      <c r="H44" s="13" t="inlineStr">
        <is>
          <t>30%</t>
        </is>
      </c>
      <c r="I44" s="13" t="inlineStr">
        <is>
          <t>35%</t>
        </is>
      </c>
      <c r="J44" s="13" t="inlineStr">
        <is>
          <t>40%</t>
        </is>
      </c>
      <c r="K44" s="13" t="inlineStr">
        <is>
          <t>45%</t>
        </is>
      </c>
      <c r="L44" s="13" t="inlineStr">
        <is>
          <t>50%</t>
        </is>
      </c>
    </row>
    <row r="45">
      <c r="A45" s="8" t="inlineStr">
        <is>
          <t>Jasser</t>
        </is>
      </c>
      <c r="B45" s="8" t="n">
        <v>1</v>
      </c>
      <c r="C45" s="8" t="inlineStr">
        <is>
          <t>Exploration</t>
        </is>
      </c>
      <c r="D45" s="8" t="n">
        <v>3</v>
      </c>
      <c r="E45" s="8" t="inlineStr">
        <is>
          <t>Natural Precision</t>
        </is>
      </c>
      <c r="F45" s="8" t="inlineStr">
        <is>
          <t>A permanent boost to his own Attack.</t>
        </is>
      </c>
      <c r="G45" s="8" t="inlineStr">
        <is>
          <t>Attack bonus</t>
        </is>
      </c>
      <c r="H45" s="13" t="inlineStr">
        <is>
          <t>8%</t>
        </is>
      </c>
      <c r="I45" s="13" t="inlineStr">
        <is>
          <t>12%</t>
        </is>
      </c>
      <c r="J45" s="13" t="inlineStr">
        <is>
          <t>16%</t>
        </is>
      </c>
      <c r="K45" s="13" t="inlineStr">
        <is>
          <t>20%</t>
        </is>
      </c>
      <c r="L45" s="13" t="inlineStr">
        <is>
          <t>24%</t>
        </is>
      </c>
    </row>
    <row r="46">
      <c r="A46" s="8" t="inlineStr">
        <is>
          <t>Jasser</t>
        </is>
      </c>
      <c r="B46" s="8" t="n">
        <v>1</v>
      </c>
      <c r="C46" s="8" t="inlineStr">
        <is>
          <t>Expedition</t>
        </is>
      </c>
      <c r="D46" s="8" t="n">
        <v>1</v>
      </c>
      <c r="E46" s="8" t="inlineStr">
        <is>
          <t>Tactical Genius</t>
        </is>
      </c>
      <c r="F46" s="8" t="inlineStr">
        <is>
          <t>Raises the damage your whole squad deals in Expedition fights.</t>
        </is>
      </c>
      <c r="G46" s="8" t="inlineStr">
        <is>
          <t>Damage dealt bonus</t>
        </is>
      </c>
      <c r="H46" s="13" t="inlineStr">
        <is>
          <t>5%</t>
        </is>
      </c>
      <c r="I46" s="13" t="inlineStr">
        <is>
          <t>10%</t>
        </is>
      </c>
      <c r="J46" s="13" t="inlineStr">
        <is>
          <t>15%</t>
        </is>
      </c>
      <c r="K46" s="13" t="inlineStr">
        <is>
          <t>20%</t>
        </is>
      </c>
      <c r="L46" s="13" t="inlineStr">
        <is>
          <t>25%</t>
        </is>
      </c>
    </row>
    <row r="47">
      <c r="A47" s="8" t="inlineStr">
        <is>
          <t>Jasser</t>
        </is>
      </c>
      <c r="B47" s="8" t="n">
        <v>1</v>
      </c>
      <c r="C47" s="8" t="inlineStr">
        <is>
          <t>Expedition</t>
        </is>
      </c>
      <c r="D47" s="8" t="n">
        <v>2</v>
      </c>
      <c r="E47" s="8" t="inlineStr">
        <is>
          <t>Enlightened Warfare</t>
        </is>
      </c>
      <c r="F47" s="8" t="inlineStr">
        <is>
          <t>Speeds up Research in your city. A utility perk.</t>
        </is>
      </c>
      <c r="G47" s="8" t="inlineStr">
        <is>
          <t>Research speed</t>
        </is>
      </c>
      <c r="H47" s="13" t="inlineStr">
        <is>
          <t>3%</t>
        </is>
      </c>
      <c r="I47" s="13" t="inlineStr">
        <is>
          <t>6%</t>
        </is>
      </c>
      <c r="J47" s="13" t="inlineStr">
        <is>
          <t>9%</t>
        </is>
      </c>
      <c r="K47" s="13" t="inlineStr">
        <is>
          <t>12%</t>
        </is>
      </c>
      <c r="L47" s="13" t="inlineStr">
        <is>
          <t>15%</t>
        </is>
      </c>
    </row>
    <row r="48">
      <c r="A48" s="8" t="inlineStr">
        <is>
          <t>Jessie</t>
        </is>
      </c>
      <c r="B48" s="8" t="n">
        <v>1</v>
      </c>
      <c r="C48" s="8" t="inlineStr">
        <is>
          <t>Exploration</t>
        </is>
      </c>
      <c r="D48" s="8" t="n">
        <v>1</v>
      </c>
      <c r="E48" s="8" t="inlineStr">
        <is>
          <t>Burst Fire</t>
        </is>
      </c>
      <c r="F48" s="8" t="inlineStr">
        <is>
          <t>Sprays a forward arc with her machine gun, hitting every half second for 2 seconds.</t>
        </is>
      </c>
      <c r="G48" s="8" t="inlineStr">
        <is>
          <t>Damage per tick (x Attack)</t>
        </is>
      </c>
      <c r="H48" s="13" t="inlineStr">
        <is>
          <t>55%</t>
        </is>
      </c>
      <c r="I48" s="13" t="inlineStr">
        <is>
          <t>60%</t>
        </is>
      </c>
      <c r="J48" s="13" t="inlineStr">
        <is>
          <t>65%</t>
        </is>
      </c>
      <c r="K48" s="13" t="inlineStr">
        <is>
          <t>70%</t>
        </is>
      </c>
      <c r="L48" s="13" t="inlineStr">
        <is>
          <t>75%</t>
        </is>
      </c>
    </row>
    <row r="49">
      <c r="A49" s="8" t="inlineStr">
        <is>
          <t>Jessie</t>
        </is>
      </c>
      <c r="B49" s="8" t="n">
        <v>1</v>
      </c>
      <c r="C49" s="8" t="inlineStr">
        <is>
          <t>Exploration</t>
        </is>
      </c>
      <c r="D49" s="8" t="n">
        <v>2</v>
      </c>
      <c r="E49" s="8" t="inlineStr">
        <is>
          <t>Defense Upgrade</t>
        </is>
      </c>
      <c r="F49" s="8" t="inlineStr">
        <is>
          <t>Strengthens her own armour for a big Defense boost.</t>
        </is>
      </c>
      <c r="G49" s="8" t="inlineStr">
        <is>
          <t>Defense bonus</t>
        </is>
      </c>
      <c r="H49" s="13" t="inlineStr">
        <is>
          <t>25%</t>
        </is>
      </c>
      <c r="I49" s="13" t="inlineStr">
        <is>
          <t>37.5%</t>
        </is>
      </c>
      <c r="J49" s="13" t="inlineStr">
        <is>
          <t>50%</t>
        </is>
      </c>
      <c r="K49" s="13" t="inlineStr">
        <is>
          <t>62.5%</t>
        </is>
      </c>
      <c r="L49" s="13" t="inlineStr">
        <is>
          <t>70%</t>
        </is>
      </c>
    </row>
    <row r="50">
      <c r="A50" s="8" t="inlineStr">
        <is>
          <t>Jessie</t>
        </is>
      </c>
      <c r="B50" s="8" t="n">
        <v>1</v>
      </c>
      <c r="C50" s="8" t="inlineStr">
        <is>
          <t>Exploration</t>
        </is>
      </c>
      <c r="D50" s="8" t="n">
        <v>3</v>
      </c>
      <c r="E50" s="8" t="inlineStr">
        <is>
          <t>Weapon Upgrade</t>
        </is>
      </c>
      <c r="F50" s="8" t="inlineStr">
        <is>
          <t>Gives her a modest Attack boost.</t>
        </is>
      </c>
      <c r="G50" s="8" t="inlineStr">
        <is>
          <t>Attack bonus</t>
        </is>
      </c>
      <c r="H50" s="13" t="inlineStr">
        <is>
          <t>8%</t>
        </is>
      </c>
      <c r="I50" s="13" t="inlineStr">
        <is>
          <t>12%</t>
        </is>
      </c>
      <c r="J50" s="13" t="inlineStr">
        <is>
          <t>16%</t>
        </is>
      </c>
      <c r="K50" s="13" t="inlineStr">
        <is>
          <t>20%</t>
        </is>
      </c>
      <c r="L50" s="13" t="inlineStr">
        <is>
          <t>24%</t>
        </is>
      </c>
    </row>
    <row r="51">
      <c r="A51" s="8" t="inlineStr">
        <is>
          <t>Jessie</t>
        </is>
      </c>
      <c r="B51" s="8" t="n">
        <v>1</v>
      </c>
      <c r="C51" s="8" t="inlineStr">
        <is>
          <t>Expedition</t>
        </is>
      </c>
      <c r="D51" s="8" t="n">
        <v>1</v>
      </c>
      <c r="E51" s="8" t="inlineStr">
        <is>
          <t>Stand of Arms</t>
        </is>
      </c>
      <c r="F51" s="8" t="inlineStr">
        <is>
          <t>Raises the damage your whole squad deals.</t>
        </is>
      </c>
      <c r="G51" s="8" t="inlineStr">
        <is>
          <t>Damage dealt bonus</t>
        </is>
      </c>
      <c r="H51" s="13" t="inlineStr">
        <is>
          <t>5%</t>
        </is>
      </c>
      <c r="I51" s="13" t="inlineStr">
        <is>
          <t>10%</t>
        </is>
      </c>
      <c r="J51" s="13" t="inlineStr">
        <is>
          <t>15%</t>
        </is>
      </c>
      <c r="K51" s="13" t="inlineStr">
        <is>
          <t>20%</t>
        </is>
      </c>
      <c r="L51" s="13" t="inlineStr">
        <is>
          <t>25%</t>
        </is>
      </c>
    </row>
    <row r="52">
      <c r="A52" s="8" t="inlineStr">
        <is>
          <t>Jessie</t>
        </is>
      </c>
      <c r="B52" s="8" t="n">
        <v>1</v>
      </c>
      <c r="C52" s="8" t="inlineStr">
        <is>
          <t>Expedition</t>
        </is>
      </c>
      <c r="D52" s="8" t="n">
        <v>2</v>
      </c>
      <c r="E52" s="8" t="inlineStr">
        <is>
          <t>Bulwarks</t>
        </is>
      </c>
      <c r="F52" s="8" t="inlineStr">
        <is>
          <t>Cuts the damage your whole squad takes.</t>
        </is>
      </c>
      <c r="G52" s="8" t="inlineStr">
        <is>
          <t>Damage taken reduction</t>
        </is>
      </c>
      <c r="H52" s="13" t="inlineStr">
        <is>
          <t>4%</t>
        </is>
      </c>
      <c r="I52" s="13" t="inlineStr">
        <is>
          <t>8%</t>
        </is>
      </c>
      <c r="J52" s="13" t="inlineStr">
        <is>
          <t>12%</t>
        </is>
      </c>
      <c r="K52" s="13" t="inlineStr">
        <is>
          <t>16%</t>
        </is>
      </c>
      <c r="L52" s="13" t="inlineStr">
        <is>
          <t>20%</t>
        </is>
      </c>
    </row>
    <row r="53">
      <c r="A53" s="8" t="inlineStr">
        <is>
          <t>Ling Xue</t>
        </is>
      </c>
      <c r="B53" s="8" t="n">
        <v>1</v>
      </c>
      <c r="C53" s="8" t="inlineStr">
        <is>
          <t>Exploration</t>
        </is>
      </c>
      <c r="D53" s="8" t="n">
        <v>1</v>
      </c>
      <c r="E53" s="8" t="inlineStr">
        <is>
          <t>Hurricane Whirl</t>
        </is>
      </c>
      <c r="F53" s="8" t="inlineStr">
        <is>
          <t>A wide sweeping slash that deals heavy damage in front of her.</t>
        </is>
      </c>
      <c r="G53" s="8" t="inlineStr">
        <is>
          <t>Damage (x Attack)</t>
        </is>
      </c>
      <c r="H53" s="13" t="inlineStr">
        <is>
          <t>300%</t>
        </is>
      </c>
      <c r="I53" s="13" t="inlineStr">
        <is>
          <t>330%</t>
        </is>
      </c>
      <c r="J53" s="13" t="inlineStr">
        <is>
          <t>360%</t>
        </is>
      </c>
      <c r="K53" s="13" t="inlineStr">
        <is>
          <t>390%</t>
        </is>
      </c>
      <c r="L53" s="13" t="inlineStr">
        <is>
          <t>420%</t>
        </is>
      </c>
    </row>
    <row r="54">
      <c r="A54" s="8" t="inlineStr">
        <is>
          <t>Ling Xue</t>
        </is>
      </c>
      <c r="B54" s="8" t="n">
        <v>1</v>
      </c>
      <c r="C54" s="8" t="inlineStr">
        <is>
          <t>Exploration</t>
        </is>
      </c>
      <c r="D54" s="8" t="n">
        <v>2</v>
      </c>
      <c r="E54" s="8" t="inlineStr">
        <is>
          <t>Galeforce</t>
        </is>
      </c>
      <c r="F54" s="8" t="inlineStr">
        <is>
          <t>She hits harder while she is above 50% Health.</t>
        </is>
      </c>
      <c r="G54" s="8" t="inlineStr">
        <is>
          <t>Attack bonus</t>
        </is>
      </c>
      <c r="H54" s="13" t="inlineStr">
        <is>
          <t>16%</t>
        </is>
      </c>
      <c r="I54" s="13" t="inlineStr">
        <is>
          <t>24%</t>
        </is>
      </c>
      <c r="J54" s="13" t="inlineStr">
        <is>
          <t>32%</t>
        </is>
      </c>
      <c r="K54" s="13" t="inlineStr">
        <is>
          <t>40%</t>
        </is>
      </c>
      <c r="L54" s="13" t="inlineStr">
        <is>
          <t>48%</t>
        </is>
      </c>
    </row>
    <row r="55">
      <c r="A55" s="8" t="inlineStr">
        <is>
          <t>Ling Xue</t>
        </is>
      </c>
      <c r="B55" s="8" t="n">
        <v>1</v>
      </c>
      <c r="C55" s="8" t="inlineStr">
        <is>
          <t>Exploration</t>
        </is>
      </c>
      <c r="D55" s="8" t="n">
        <v>3</v>
      </c>
      <c r="E55" s="8" t="inlineStr">
        <is>
          <t>Desperate Measures</t>
        </is>
      </c>
      <c r="F55" s="8" t="inlineStr">
        <is>
          <t>She becomes much tougher once she drops below 50% Health.</t>
        </is>
      </c>
      <c r="G55" s="8" t="inlineStr">
        <is>
          <t>Defense bonus</t>
        </is>
      </c>
      <c r="H55" s="13" t="inlineStr">
        <is>
          <t>50%</t>
        </is>
      </c>
      <c r="I55" s="13" t="inlineStr">
        <is>
          <t>75%</t>
        </is>
      </c>
      <c r="J55" s="13" t="inlineStr">
        <is>
          <t>100%</t>
        </is>
      </c>
      <c r="K55" s="13" t="inlineStr">
        <is>
          <t>125%</t>
        </is>
      </c>
      <c r="L55" s="13" t="inlineStr">
        <is>
          <t>150%</t>
        </is>
      </c>
    </row>
    <row r="56">
      <c r="A56" s="8" t="inlineStr">
        <is>
          <t>Ling Xue</t>
        </is>
      </c>
      <c r="B56" s="8" t="n">
        <v>1</v>
      </c>
      <c r="C56" s="8" t="inlineStr">
        <is>
          <t>Expedition</t>
        </is>
      </c>
      <c r="D56" s="8" t="n">
        <v>1</v>
      </c>
      <c r="E56" s="8" t="inlineStr">
        <is>
          <t>Fearsome Aura</t>
        </is>
      </c>
      <c r="F56" s="8" t="inlineStr">
        <is>
          <t>Weakens every enemy troop by lowering their Attack.</t>
        </is>
      </c>
      <c r="G56" s="8" t="inlineStr">
        <is>
          <t>Enemy Attack reduction</t>
        </is>
      </c>
      <c r="H56" s="13" t="inlineStr">
        <is>
          <t>4%</t>
        </is>
      </c>
      <c r="I56" s="13" t="inlineStr">
        <is>
          <t>8%</t>
        </is>
      </c>
      <c r="J56" s="13" t="inlineStr">
        <is>
          <t>12%</t>
        </is>
      </c>
      <c r="K56" s="13" t="inlineStr">
        <is>
          <t>16%</t>
        </is>
      </c>
      <c r="L56" s="13" t="inlineStr">
        <is>
          <t>20%</t>
        </is>
      </c>
    </row>
    <row r="57">
      <c r="A57" s="8" t="inlineStr">
        <is>
          <t>Ling Xue</t>
        </is>
      </c>
      <c r="B57" s="8" t="n">
        <v>1</v>
      </c>
      <c r="C57" s="8" t="inlineStr">
        <is>
          <t>Expedition</t>
        </is>
      </c>
      <c r="D57" s="8" t="n">
        <v>2</v>
      </c>
      <c r="E57" s="8" t="inlineStr">
        <is>
          <t>Total Control</t>
        </is>
      </c>
      <c r="F57" s="8" t="inlineStr">
        <is>
          <t>Speeds up troop training in your city. A utility perk.</t>
        </is>
      </c>
      <c r="G57" s="8" t="inlineStr">
        <is>
          <t>Training speed</t>
        </is>
      </c>
      <c r="H57" s="13" t="inlineStr">
        <is>
          <t>4%</t>
        </is>
      </c>
      <c r="I57" s="13" t="inlineStr">
        <is>
          <t>8%</t>
        </is>
      </c>
      <c r="J57" s="13" t="inlineStr">
        <is>
          <t>12%</t>
        </is>
      </c>
      <c r="K57" s="13" t="inlineStr">
        <is>
          <t>16%</t>
        </is>
      </c>
      <c r="L57" s="13" t="inlineStr">
        <is>
          <t>20%</t>
        </is>
      </c>
    </row>
    <row r="58">
      <c r="A58" s="8" t="inlineStr">
        <is>
          <t>Lumak Bokan</t>
        </is>
      </c>
      <c r="B58" s="8" t="n">
        <v>1</v>
      </c>
      <c r="C58" s="8" t="inlineStr">
        <is>
          <t>Exploration</t>
        </is>
      </c>
      <c r="D58" s="8" t="n">
        <v>1</v>
      </c>
      <c r="E58" s="8" t="inlineStr">
        <is>
          <t>Earthshake</t>
        </is>
      </c>
      <c r="F58" s="8" t="inlineStr">
        <is>
          <t>A war cry that lowers the Attack of all enemy troops for 2 seconds.</t>
        </is>
      </c>
      <c r="G58" s="8" t="inlineStr">
        <is>
          <t>Enemy Attack reduction</t>
        </is>
      </c>
      <c r="H58" s="13" t="inlineStr">
        <is>
          <t>1%</t>
        </is>
      </c>
      <c r="I58" s="13" t="inlineStr">
        <is>
          <t>2%</t>
        </is>
      </c>
      <c r="J58" s="13" t="inlineStr">
        <is>
          <t>3%</t>
        </is>
      </c>
      <c r="K58" s="13" t="inlineStr">
        <is>
          <t>4%</t>
        </is>
      </c>
      <c r="L58" s="13" t="inlineStr">
        <is>
          <t>5%</t>
        </is>
      </c>
    </row>
    <row r="59">
      <c r="A59" s="8" t="inlineStr">
        <is>
          <t>Lumak Bokan</t>
        </is>
      </c>
      <c r="B59" s="8" t="n">
        <v>1</v>
      </c>
      <c r="C59" s="8" t="inlineStr">
        <is>
          <t>Exploration</t>
        </is>
      </c>
      <c r="D59" s="8" t="n">
        <v>2</v>
      </c>
      <c r="E59" s="8" t="inlineStr">
        <is>
          <t>Echoing Boost</t>
        </is>
      </c>
      <c r="F59" s="8" t="inlineStr">
        <is>
          <t>After Earthshake goes off, he and nearby allies gain an Attack boost for 2 seconds.</t>
        </is>
      </c>
      <c r="G59" s="8" t="inlineStr">
        <is>
          <t>Attack bonus</t>
        </is>
      </c>
      <c r="H59" s="13" t="inlineStr">
        <is>
          <t>15%</t>
        </is>
      </c>
      <c r="I59" s="13" t="inlineStr">
        <is>
          <t>20%</t>
        </is>
      </c>
      <c r="J59" s="13" t="inlineStr">
        <is>
          <t>25%</t>
        </is>
      </c>
      <c r="K59" s="13" t="inlineStr">
        <is>
          <t>30%</t>
        </is>
      </c>
      <c r="L59" s="13" t="inlineStr">
        <is>
          <t>35%</t>
        </is>
      </c>
    </row>
    <row r="60">
      <c r="A60" s="8" t="inlineStr">
        <is>
          <t>Lumak Bokan</t>
        </is>
      </c>
      <c r="B60" s="8" t="n">
        <v>1</v>
      </c>
      <c r="C60" s="8" t="inlineStr">
        <is>
          <t>Exploration</t>
        </is>
      </c>
      <c r="D60" s="8" t="n">
        <v>3</v>
      </c>
      <c r="E60" s="8" t="inlineStr">
        <is>
          <t>Jungle-Born Agility</t>
        </is>
      </c>
      <c r="F60" s="8" t="inlineStr">
        <is>
          <t>Boosts his Attack Speed.</t>
        </is>
      </c>
      <c r="G60" s="8" t="inlineStr">
        <is>
          <t>Attack Speed</t>
        </is>
      </c>
      <c r="H60" s="13" t="inlineStr">
        <is>
          <t>10%</t>
        </is>
      </c>
      <c r="I60" s="13" t="inlineStr">
        <is>
          <t>15%</t>
        </is>
      </c>
      <c r="J60" s="13" t="inlineStr">
        <is>
          <t>20%</t>
        </is>
      </c>
      <c r="K60" s="13" t="inlineStr">
        <is>
          <t>25%</t>
        </is>
      </c>
      <c r="L60" s="13" t="inlineStr">
        <is>
          <t>30%</t>
        </is>
      </c>
    </row>
    <row r="61">
      <c r="A61" s="8" t="inlineStr">
        <is>
          <t>Lumak Bokan</t>
        </is>
      </c>
      <c r="B61" s="8" t="n">
        <v>1</v>
      </c>
      <c r="C61" s="8" t="inlineStr">
        <is>
          <t>Expedition</t>
        </is>
      </c>
      <c r="D61" s="8" t="n">
        <v>1</v>
      </c>
      <c r="E61" s="8" t="inlineStr">
        <is>
          <t>Tactical Deception</t>
        </is>
      </c>
      <c r="F61" s="8" t="inlineStr">
        <is>
          <t>Reduces the damage every enemy troop deals.</t>
        </is>
      </c>
      <c r="G61" s="8" t="inlineStr">
        <is>
          <t>Enemy damage reduction</t>
        </is>
      </c>
      <c r="H61" s="13" t="inlineStr">
        <is>
          <t>4%</t>
        </is>
      </c>
      <c r="I61" s="13" t="inlineStr">
        <is>
          <t>8%</t>
        </is>
      </c>
      <c r="J61" s="13" t="inlineStr">
        <is>
          <t>12%</t>
        </is>
      </c>
      <c r="K61" s="13" t="inlineStr">
        <is>
          <t>16%</t>
        </is>
      </c>
      <c r="L61" s="13" t="inlineStr">
        <is>
          <t>20%</t>
        </is>
      </c>
    </row>
    <row r="62">
      <c r="A62" s="8" t="inlineStr">
        <is>
          <t>Lumak Bokan</t>
        </is>
      </c>
      <c r="B62" s="8" t="n">
        <v>1</v>
      </c>
      <c r="C62" s="8" t="inlineStr">
        <is>
          <t>Expedition</t>
        </is>
      </c>
      <c r="D62" s="8" t="n">
        <v>2</v>
      </c>
      <c r="E62" s="8" t="inlineStr">
        <is>
          <t>Emerald Warrior</t>
        </is>
      </c>
      <c r="F62" s="8" t="inlineStr">
        <is>
          <t>Speeds up your hunting marches. A utility perk.</t>
        </is>
      </c>
      <c r="G62" s="8" t="inlineStr">
        <is>
          <t>Hunting march speed</t>
        </is>
      </c>
      <c r="H62" s="13" t="inlineStr">
        <is>
          <t>20%</t>
        </is>
      </c>
      <c r="I62" s="13" t="inlineStr">
        <is>
          <t>40%</t>
        </is>
      </c>
      <c r="J62" s="13" t="inlineStr">
        <is>
          <t>60%</t>
        </is>
      </c>
      <c r="K62" s="13" t="inlineStr">
        <is>
          <t>80%</t>
        </is>
      </c>
      <c r="L62" s="13" t="inlineStr">
        <is>
          <t>100%</t>
        </is>
      </c>
    </row>
    <row r="63">
      <c r="A63" s="8" t="inlineStr">
        <is>
          <t>Patrick</t>
        </is>
      </c>
      <c r="B63" s="8" t="n">
        <v>1</v>
      </c>
      <c r="C63" s="8" t="inlineStr">
        <is>
          <t>Exploration</t>
        </is>
      </c>
      <c r="D63" s="8" t="n">
        <v>1</v>
      </c>
      <c r="E63" s="8" t="inlineStr">
        <is>
          <t>BBQ Feast</t>
        </is>
      </c>
      <c r="F63" s="8" t="inlineStr">
        <is>
          <t>Heals all your troops and gives them a short Attack boost for 4 seconds.</t>
        </is>
      </c>
      <c r="G63" s="8" t="inlineStr">
        <is>
          <t>Heal (x Attack)</t>
        </is>
      </c>
      <c r="H63" s="13" t="inlineStr">
        <is>
          <t>200%</t>
        </is>
      </c>
      <c r="I63" s="13" t="inlineStr">
        <is>
          <t>220%</t>
        </is>
      </c>
      <c r="J63" s="13" t="inlineStr">
        <is>
          <t>240%</t>
        </is>
      </c>
      <c r="K63" s="13" t="inlineStr">
        <is>
          <t>260%</t>
        </is>
      </c>
      <c r="L63" s="13" t="inlineStr">
        <is>
          <t>280%</t>
        </is>
      </c>
    </row>
    <row r="64">
      <c r="A64" s="8" t="inlineStr">
        <is>
          <t>Patrick</t>
        </is>
      </c>
      <c r="B64" s="8" t="n">
        <v>1</v>
      </c>
      <c r="C64" s="8" t="inlineStr">
        <is>
          <t>Exploration</t>
        </is>
      </c>
      <c r="D64" s="8" t="n">
        <v>1</v>
      </c>
      <c r="E64" s="8" t="inlineStr">
        <is>
          <t>BBQ Feast</t>
        </is>
      </c>
      <c r="F64" s="8" t="inlineStr">
        <is>
          <t>Heals all your troops and gives them a short Attack boost for 4 seconds.</t>
        </is>
      </c>
      <c r="G64" s="8" t="inlineStr">
        <is>
          <t>Attack bonus</t>
        </is>
      </c>
      <c r="H64" s="13" t="inlineStr">
        <is>
          <t>5%</t>
        </is>
      </c>
      <c r="I64" s="13" t="inlineStr">
        <is>
          <t>5.5%</t>
        </is>
      </c>
      <c r="J64" s="13" t="inlineStr">
        <is>
          <t>6%</t>
        </is>
      </c>
      <c r="K64" s="13" t="inlineStr">
        <is>
          <t>6.5%</t>
        </is>
      </c>
      <c r="L64" s="13" t="inlineStr">
        <is>
          <t>7%</t>
        </is>
      </c>
    </row>
    <row r="65">
      <c r="A65" s="8" t="inlineStr">
        <is>
          <t>Patrick</t>
        </is>
      </c>
      <c r="B65" s="8" t="n">
        <v>1</v>
      </c>
      <c r="C65" s="8" t="inlineStr">
        <is>
          <t>Exploration</t>
        </is>
      </c>
      <c r="D65" s="8" t="n">
        <v>2</v>
      </c>
      <c r="E65" s="8" t="inlineStr">
        <is>
          <t>Thick Belly</t>
        </is>
      </c>
      <c r="F65" s="8" t="inlineStr">
        <is>
          <t>Cuts the damage he takes.</t>
        </is>
      </c>
      <c r="G65" s="8" t="inlineStr">
        <is>
          <t>Damage taken reduction</t>
        </is>
      </c>
      <c r="H65" s="13" t="inlineStr">
        <is>
          <t>10%</t>
        </is>
      </c>
      <c r="I65" s="13" t="inlineStr">
        <is>
          <t>15%</t>
        </is>
      </c>
      <c r="J65" s="13" t="inlineStr">
        <is>
          <t>20%</t>
        </is>
      </c>
      <c r="K65" s="13" t="inlineStr">
        <is>
          <t>25%</t>
        </is>
      </c>
      <c r="L65" s="13" t="inlineStr">
        <is>
          <t>30%</t>
        </is>
      </c>
    </row>
    <row r="66">
      <c r="A66" s="8" t="inlineStr">
        <is>
          <t>Patrick</t>
        </is>
      </c>
      <c r="B66" s="8" t="n">
        <v>1</v>
      </c>
      <c r="C66" s="8" t="inlineStr">
        <is>
          <t>Exploration</t>
        </is>
      </c>
      <c r="D66" s="8" t="n">
        <v>3</v>
      </c>
      <c r="E66" s="8" t="inlineStr">
        <is>
          <t>Emergency Snack</t>
        </is>
      </c>
      <c r="F66" s="8" t="inlineStr">
        <is>
          <t>Heals him over time, once every 5 seconds.</t>
        </is>
      </c>
      <c r="G66" s="8" t="inlineStr">
        <is>
          <t>Heal per 5s (x Attack)</t>
        </is>
      </c>
      <c r="H66" s="13" t="inlineStr">
        <is>
          <t>50%</t>
        </is>
      </c>
      <c r="I66" s="13" t="inlineStr">
        <is>
          <t>55%</t>
        </is>
      </c>
      <c r="J66" s="13" t="inlineStr">
        <is>
          <t>60%</t>
        </is>
      </c>
      <c r="K66" s="13" t="inlineStr">
        <is>
          <t>65%</t>
        </is>
      </c>
      <c r="L66" s="13" t="inlineStr">
        <is>
          <t>70%</t>
        </is>
      </c>
    </row>
    <row r="67">
      <c r="A67" s="8" t="inlineStr">
        <is>
          <t>Patrick</t>
        </is>
      </c>
      <c r="B67" s="8" t="n">
        <v>1</v>
      </c>
      <c r="C67" s="8" t="inlineStr">
        <is>
          <t>Expedition</t>
        </is>
      </c>
      <c r="D67" s="8" t="n">
        <v>1</v>
      </c>
      <c r="E67" s="8" t="inlineStr">
        <is>
          <t>Super Nutrients</t>
        </is>
      </c>
      <c r="F67" s="8" t="inlineStr">
        <is>
          <t>Raises the Health of every troop in your squad.</t>
        </is>
      </c>
      <c r="G67" s="8" t="inlineStr">
        <is>
          <t>Health bonus</t>
        </is>
      </c>
      <c r="H67" s="13" t="inlineStr">
        <is>
          <t>5%</t>
        </is>
      </c>
      <c r="I67" s="13" t="inlineStr">
        <is>
          <t>10%</t>
        </is>
      </c>
      <c r="J67" s="13" t="inlineStr">
        <is>
          <t>15%</t>
        </is>
      </c>
      <c r="K67" s="13" t="inlineStr">
        <is>
          <t>20%</t>
        </is>
      </c>
      <c r="L67" s="13" t="inlineStr">
        <is>
          <t>25%</t>
        </is>
      </c>
    </row>
    <row r="68">
      <c r="A68" s="8" t="inlineStr">
        <is>
          <t>Patrick</t>
        </is>
      </c>
      <c r="B68" s="8" t="n">
        <v>1</v>
      </c>
      <c r="C68" s="8" t="inlineStr">
        <is>
          <t>Expedition</t>
        </is>
      </c>
      <c r="D68" s="8" t="n">
        <v>2</v>
      </c>
      <c r="E68" s="8" t="inlineStr">
        <is>
          <t>Caloric Booster</t>
        </is>
      </c>
      <c r="F68" s="8" t="inlineStr">
        <is>
          <t>Raises the Attack of every troop in your squad.</t>
        </is>
      </c>
      <c r="G68" s="8" t="inlineStr">
        <is>
          <t>Attack bonus</t>
        </is>
      </c>
      <c r="H68" s="13" t="inlineStr">
        <is>
          <t>5%</t>
        </is>
      </c>
      <c r="I68" s="13" t="inlineStr">
        <is>
          <t>10%</t>
        </is>
      </c>
      <c r="J68" s="13" t="inlineStr">
        <is>
          <t>15%</t>
        </is>
      </c>
      <c r="K68" s="13" t="inlineStr">
        <is>
          <t>20%</t>
        </is>
      </c>
      <c r="L68" s="13" t="inlineStr">
        <is>
          <t>25%</t>
        </is>
      </c>
    </row>
    <row r="69">
      <c r="A69" s="8" t="inlineStr">
        <is>
          <t>Seo-yoon</t>
        </is>
      </c>
      <c r="B69" s="8" t="n">
        <v>1</v>
      </c>
      <c r="C69" s="8" t="inlineStr">
        <is>
          <t>Exploration</t>
        </is>
      </c>
      <c r="D69" s="8" t="n">
        <v>1</v>
      </c>
      <c r="E69" s="8" t="inlineStr">
        <is>
          <t>Heartbeat of Valor</t>
        </is>
      </c>
      <c r="F69" s="8" t="inlineStr">
        <is>
          <t>A drum beat that briefly boosts the Attack and Attack Speed of your whole team for 4 seconds.</t>
        </is>
      </c>
      <c r="G69" s="8" t="inlineStr">
        <is>
          <t>Attack bonus</t>
        </is>
      </c>
      <c r="H69" s="13" t="inlineStr">
        <is>
          <t>1.5%</t>
        </is>
      </c>
      <c r="I69" s="13" t="inlineStr">
        <is>
          <t>2%</t>
        </is>
      </c>
      <c r="J69" s="13" t="inlineStr">
        <is>
          <t>2.5%</t>
        </is>
      </c>
      <c r="K69" s="13" t="inlineStr">
        <is>
          <t>3%</t>
        </is>
      </c>
      <c r="L69" s="13" t="inlineStr">
        <is>
          <t>3.5%</t>
        </is>
      </c>
    </row>
    <row r="70">
      <c r="A70" s="8" t="inlineStr">
        <is>
          <t>Seo-yoon</t>
        </is>
      </c>
      <c r="B70" s="8" t="n">
        <v>1</v>
      </c>
      <c r="C70" s="8" t="inlineStr">
        <is>
          <t>Exploration</t>
        </is>
      </c>
      <c r="D70" s="8" t="n">
        <v>1</v>
      </c>
      <c r="E70" s="8" t="inlineStr">
        <is>
          <t>Heartbeat of Valor</t>
        </is>
      </c>
      <c r="F70" s="8" t="inlineStr">
        <is>
          <t>A drum beat that briefly boosts the Attack and Attack Speed of your whole team for 4 seconds.</t>
        </is>
      </c>
      <c r="G70" s="8" t="inlineStr">
        <is>
          <t>Attack Speed bonus</t>
        </is>
      </c>
      <c r="H70" s="13" t="inlineStr">
        <is>
          <t>2.5%</t>
        </is>
      </c>
      <c r="I70" s="13" t="inlineStr">
        <is>
          <t>3%</t>
        </is>
      </c>
      <c r="J70" s="13" t="inlineStr">
        <is>
          <t>3.5%</t>
        </is>
      </c>
      <c r="K70" s="13" t="inlineStr">
        <is>
          <t>4%</t>
        </is>
      </c>
      <c r="L70" s="13" t="inlineStr">
        <is>
          <t>4.5%</t>
        </is>
      </c>
    </row>
    <row r="71">
      <c r="A71" s="8" t="inlineStr">
        <is>
          <t>Seo-yoon</t>
        </is>
      </c>
      <c r="B71" s="8" t="n">
        <v>1</v>
      </c>
      <c r="C71" s="8" t="inlineStr">
        <is>
          <t>Exploration</t>
        </is>
      </c>
      <c r="D71" s="8" t="n">
        <v>2</v>
      </c>
      <c r="E71" s="8" t="inlineStr">
        <is>
          <t>Bullseye Bash</t>
        </is>
      </c>
      <c r="F71" s="8" t="inlineStr">
        <is>
          <t>Hurls a drumstick at an enemy weak spot for single-target damage.</t>
        </is>
      </c>
      <c r="G71" s="8" t="inlineStr">
        <is>
          <t>Damage (x Attack)</t>
        </is>
      </c>
      <c r="H71" s="13" t="inlineStr">
        <is>
          <t>150%</t>
        </is>
      </c>
      <c r="I71" s="13" t="inlineStr">
        <is>
          <t>165%</t>
        </is>
      </c>
      <c r="J71" s="13" t="inlineStr">
        <is>
          <t>180%</t>
        </is>
      </c>
      <c r="K71" s="13" t="inlineStr">
        <is>
          <t>195%</t>
        </is>
      </c>
      <c r="L71" s="13" t="inlineStr">
        <is>
          <t>210%</t>
        </is>
      </c>
    </row>
    <row r="72">
      <c r="A72" s="8" t="inlineStr">
        <is>
          <t>Seo-yoon</t>
        </is>
      </c>
      <c r="B72" s="8" t="n">
        <v>1</v>
      </c>
      <c r="C72" s="8" t="inlineStr">
        <is>
          <t>Exploration</t>
        </is>
      </c>
      <c r="D72" s="8" t="n">
        <v>3</v>
      </c>
      <c r="E72" s="8" t="inlineStr">
        <is>
          <t>Gale's Pulse</t>
        </is>
      </c>
      <c r="F72" s="8" t="inlineStr">
        <is>
          <t>Every 3 basic attacks she gains Attack Speed, and it lasts for the rest of the fight.</t>
        </is>
      </c>
      <c r="G72" s="8" t="inlineStr">
        <is>
          <t>Attack Speed per 3 attacks</t>
        </is>
      </c>
      <c r="H72" s="13" t="inlineStr">
        <is>
          <t>1%</t>
        </is>
      </c>
      <c r="I72" s="13" t="inlineStr">
        <is>
          <t>2%</t>
        </is>
      </c>
      <c r="J72" s="13" t="inlineStr">
        <is>
          <t>3%</t>
        </is>
      </c>
      <c r="K72" s="13" t="inlineStr">
        <is>
          <t>4%</t>
        </is>
      </c>
      <c r="L72" s="13" t="inlineStr">
        <is>
          <t>5%</t>
        </is>
      </c>
    </row>
    <row r="73">
      <c r="A73" s="8" t="inlineStr">
        <is>
          <t>Seo-yoon</t>
        </is>
      </c>
      <c r="B73" s="8" t="n">
        <v>1</v>
      </c>
      <c r="C73" s="8" t="inlineStr">
        <is>
          <t>Expedition</t>
        </is>
      </c>
      <c r="D73" s="8" t="n">
        <v>1</v>
      </c>
      <c r="E73" s="8" t="inlineStr">
        <is>
          <t>Rallying Beat</t>
        </is>
      </c>
      <c r="F73" s="8" t="inlineStr">
        <is>
          <t>Raises the Attack of every troop in your squad.</t>
        </is>
      </c>
      <c r="G73" s="8" t="inlineStr">
        <is>
          <t>Attack bonus</t>
        </is>
      </c>
      <c r="H73" s="13" t="inlineStr">
        <is>
          <t>5%</t>
        </is>
      </c>
      <c r="I73" s="13" t="inlineStr">
        <is>
          <t>10%</t>
        </is>
      </c>
      <c r="J73" s="13" t="inlineStr">
        <is>
          <t>15%</t>
        </is>
      </c>
      <c r="K73" s="13" t="inlineStr">
        <is>
          <t>20%</t>
        </is>
      </c>
      <c r="L73" s="13" t="inlineStr">
        <is>
          <t>25%</t>
        </is>
      </c>
    </row>
    <row r="74">
      <c r="A74" s="8" t="inlineStr">
        <is>
          <t>Seo-yoon</t>
        </is>
      </c>
      <c r="B74" s="8" t="n">
        <v>1</v>
      </c>
      <c r="C74" s="8" t="inlineStr">
        <is>
          <t>Expedition</t>
        </is>
      </c>
      <c r="D74" s="8" t="n">
        <v>2</v>
      </c>
      <c r="E74" s="8" t="inlineStr">
        <is>
          <t>Soothing Dance</t>
        </is>
      </c>
      <c r="F74" s="8" t="inlineStr">
        <is>
          <t>Speeds up healing of wounded troops in the Infirmary. A utility perk.</t>
        </is>
      </c>
      <c r="G74" s="8" t="inlineStr">
        <is>
          <t>Infirmary healing speed</t>
        </is>
      </c>
      <c r="H74" s="13" t="inlineStr">
        <is>
          <t>10%</t>
        </is>
      </c>
      <c r="I74" s="13" t="inlineStr">
        <is>
          <t>20%</t>
        </is>
      </c>
      <c r="J74" s="13" t="inlineStr">
        <is>
          <t>30%</t>
        </is>
      </c>
      <c r="K74" s="13" t="inlineStr">
        <is>
          <t>40%</t>
        </is>
      </c>
      <c r="L74" s="13" t="inlineStr">
        <is>
          <t>50%</t>
        </is>
      </c>
    </row>
    <row r="75">
      <c r="A75" s="8" t="inlineStr">
        <is>
          <t>Sergey</t>
        </is>
      </c>
      <c r="B75" s="8" t="n">
        <v>1</v>
      </c>
      <c r="C75" s="8" t="inlineStr">
        <is>
          <t>Exploration</t>
        </is>
      </c>
      <c r="D75" s="8" t="n">
        <v>1</v>
      </c>
      <c r="E75" s="8" t="inlineStr">
        <is>
          <t>Shielded Strike</t>
        </is>
      </c>
      <c r="F75" s="8" t="inlineStr">
        <is>
          <t>Bashes the target with his shield, knocking it back and dealing area damage.</t>
        </is>
      </c>
      <c r="G75" s="8" t="inlineStr">
        <is>
          <t>Area damage (x Attack)</t>
        </is>
      </c>
      <c r="H75" s="13" t="inlineStr">
        <is>
          <t>200%</t>
        </is>
      </c>
      <c r="I75" s="13" t="inlineStr">
        <is>
          <t>220%</t>
        </is>
      </c>
      <c r="J75" s="13" t="inlineStr">
        <is>
          <t>240%</t>
        </is>
      </c>
      <c r="K75" s="13" t="inlineStr">
        <is>
          <t>260%</t>
        </is>
      </c>
      <c r="L75" s="13" t="inlineStr">
        <is>
          <t>280%</t>
        </is>
      </c>
    </row>
    <row r="76">
      <c r="A76" s="8" t="inlineStr">
        <is>
          <t>Sergey</t>
        </is>
      </c>
      <c r="B76" s="8" t="n">
        <v>1</v>
      </c>
      <c r="C76" s="8" t="inlineStr">
        <is>
          <t>Exploration</t>
        </is>
      </c>
      <c r="D76" s="8" t="n">
        <v>2</v>
      </c>
      <c r="E76" s="8" t="inlineStr">
        <is>
          <t>Joint Defense</t>
        </is>
      </c>
      <c r="F76" s="8" t="inlineStr">
        <is>
          <t>Raises the Defense of all your friendly heroes in the fight.</t>
        </is>
      </c>
      <c r="G76" s="8" t="inlineStr">
        <is>
          <t>Hero Defense bonus</t>
        </is>
      </c>
      <c r="H76" s="13" t="inlineStr">
        <is>
          <t>5%</t>
        </is>
      </c>
      <c r="I76" s="13" t="inlineStr">
        <is>
          <t>7.5%</t>
        </is>
      </c>
      <c r="J76" s="13" t="inlineStr">
        <is>
          <t>10%</t>
        </is>
      </c>
      <c r="K76" s="13" t="inlineStr">
        <is>
          <t>12.5%</t>
        </is>
      </c>
      <c r="L76" s="13" t="inlineStr">
        <is>
          <t>15%</t>
        </is>
      </c>
    </row>
    <row r="77">
      <c r="A77" s="8" t="inlineStr">
        <is>
          <t>Sergey</t>
        </is>
      </c>
      <c r="B77" s="8" t="n">
        <v>1</v>
      </c>
      <c r="C77" s="8" t="inlineStr">
        <is>
          <t>Exploration</t>
        </is>
      </c>
      <c r="D77" s="8" t="n">
        <v>3</v>
      </c>
      <c r="E77" s="8" t="inlineStr">
        <is>
          <t>Shield Block</t>
        </is>
      </c>
      <c r="F77" s="8" t="inlineStr">
        <is>
          <t>Cuts the damage he takes.</t>
        </is>
      </c>
      <c r="G77" s="8" t="inlineStr">
        <is>
          <t>Damage taken reduction</t>
        </is>
      </c>
      <c r="H77" s="13" t="inlineStr">
        <is>
          <t>10%</t>
        </is>
      </c>
      <c r="I77" s="13" t="inlineStr">
        <is>
          <t>15%</t>
        </is>
      </c>
      <c r="J77" s="13" t="inlineStr">
        <is>
          <t>20%</t>
        </is>
      </c>
      <c r="K77" s="13" t="inlineStr">
        <is>
          <t>25%</t>
        </is>
      </c>
      <c r="L77" s="13" t="inlineStr">
        <is>
          <t>30%</t>
        </is>
      </c>
    </row>
    <row r="78">
      <c r="A78" s="8" t="inlineStr">
        <is>
          <t>Sergey</t>
        </is>
      </c>
      <c r="B78" s="8" t="n">
        <v>1</v>
      </c>
      <c r="C78" s="8" t="inlineStr">
        <is>
          <t>Expedition</t>
        </is>
      </c>
      <c r="D78" s="8" t="n">
        <v>1</v>
      </c>
      <c r="E78" s="8" t="inlineStr">
        <is>
          <t>Defenders' Edge</t>
        </is>
      </c>
      <c r="F78" s="8" t="inlineStr">
        <is>
          <t>Cuts the damage your whole squad takes.</t>
        </is>
      </c>
      <c r="G78" s="8" t="inlineStr">
        <is>
          <t>Damage taken reduction</t>
        </is>
      </c>
      <c r="H78" s="13" t="inlineStr">
        <is>
          <t>4%</t>
        </is>
      </c>
      <c r="I78" s="13" t="inlineStr">
        <is>
          <t>8%</t>
        </is>
      </c>
      <c r="J78" s="13" t="inlineStr">
        <is>
          <t>12%</t>
        </is>
      </c>
      <c r="K78" s="13" t="inlineStr">
        <is>
          <t>16%</t>
        </is>
      </c>
      <c r="L78" s="13" t="inlineStr">
        <is>
          <t>20%</t>
        </is>
      </c>
    </row>
    <row r="79">
      <c r="A79" s="8" t="inlineStr">
        <is>
          <t>Sergey</t>
        </is>
      </c>
      <c r="B79" s="8" t="n">
        <v>1</v>
      </c>
      <c r="C79" s="8" t="inlineStr">
        <is>
          <t>Expedition</t>
        </is>
      </c>
      <c r="D79" s="8" t="n">
        <v>2</v>
      </c>
      <c r="E79" s="8" t="inlineStr">
        <is>
          <t>Weaken</t>
        </is>
      </c>
      <c r="F79" s="8" t="inlineStr">
        <is>
          <t>Weakens every enemy troop by lowering their Attack.</t>
        </is>
      </c>
      <c r="G79" s="8" t="inlineStr">
        <is>
          <t>Enemy Attack reduction</t>
        </is>
      </c>
      <c r="H79" s="13" t="inlineStr">
        <is>
          <t>4%</t>
        </is>
      </c>
      <c r="I79" s="13" t="inlineStr">
        <is>
          <t>8%</t>
        </is>
      </c>
      <c r="J79" s="13" t="inlineStr">
        <is>
          <t>12%</t>
        </is>
      </c>
      <c r="K79" s="13" t="inlineStr">
        <is>
          <t>16%</t>
        </is>
      </c>
      <c r="L79" s="13" t="inlineStr">
        <is>
          <t>20%</t>
        </is>
      </c>
    </row>
    <row r="80">
      <c r="A80" s="8" t="inlineStr">
        <is>
          <t>Charlie</t>
        </is>
      </c>
      <c r="B80" s="8" t="n">
        <v>1</v>
      </c>
      <c r="C80" s="8" t="inlineStr">
        <is>
          <t>Exploration</t>
        </is>
      </c>
      <c r="D80" s="8" t="n">
        <v>1</v>
      </c>
      <c r="E80" s="8" t="inlineStr">
        <is>
          <t>Shrapnel Load</t>
        </is>
      </c>
      <c r="F80" s="8" t="inlineStr">
        <is>
          <t>Lobs an explosive that damages the target and enemies around it.</t>
        </is>
      </c>
      <c r="G80" s="8" t="inlineStr">
        <is>
          <t>Area damage (x Attack)</t>
        </is>
      </c>
      <c r="H80" s="13" t="inlineStr">
        <is>
          <t>140%</t>
        </is>
      </c>
      <c r="I80" s="13" t="inlineStr">
        <is>
          <t>154%</t>
        </is>
      </c>
      <c r="J80" s="13" t="inlineStr">
        <is>
          <t>168%</t>
        </is>
      </c>
      <c r="K80" s="13" t="inlineStr">
        <is>
          <t>182%</t>
        </is>
      </c>
      <c r="L80" s="13" t="inlineStr">
        <is>
          <t>196%</t>
        </is>
      </c>
    </row>
    <row r="81">
      <c r="A81" s="8" t="inlineStr">
        <is>
          <t>Charlie</t>
        </is>
      </c>
      <c r="B81" s="8" t="n">
        <v>1</v>
      </c>
      <c r="C81" s="8" t="inlineStr">
        <is>
          <t>Exploration</t>
        </is>
      </c>
      <c r="D81" s="8" t="n">
        <v>2</v>
      </c>
      <c r="E81" s="8" t="inlineStr">
        <is>
          <t>Grenadier</t>
        </is>
      </c>
      <c r="F81" s="8" t="inlineStr">
        <is>
          <t>His grenades can stun the target, and both the chance and the stun time grow with level.</t>
        </is>
      </c>
      <c r="G81" s="8" t="inlineStr">
        <is>
          <t>Stun chance</t>
        </is>
      </c>
      <c r="H81" s="13" t="inlineStr">
        <is>
          <t>10%</t>
        </is>
      </c>
      <c r="I81" s="13" t="inlineStr">
        <is>
          <t>15%</t>
        </is>
      </c>
      <c r="J81" s="13" t="inlineStr">
        <is>
          <t>15%</t>
        </is>
      </c>
      <c r="K81" s="13" t="inlineStr">
        <is>
          <t>20%</t>
        </is>
      </c>
      <c r="L81" s="13" t="inlineStr">
        <is>
          <t>20%</t>
        </is>
      </c>
    </row>
    <row r="82">
      <c r="A82" s="8" t="inlineStr">
        <is>
          <t>Charlie</t>
        </is>
      </c>
      <c r="B82" s="8" t="n">
        <v>1</v>
      </c>
      <c r="C82" s="8" t="inlineStr">
        <is>
          <t>Exploration</t>
        </is>
      </c>
      <c r="D82" s="8" t="n">
        <v>2</v>
      </c>
      <c r="E82" s="8" t="inlineStr">
        <is>
          <t>Grenadier</t>
        </is>
      </c>
      <c r="F82" s="8" t="inlineStr">
        <is>
          <t>His grenades can stun the target, and both the chance and the stun time grow with level.</t>
        </is>
      </c>
      <c r="G82" s="8" t="inlineStr">
        <is>
          <t>Stun duration</t>
        </is>
      </c>
      <c r="H82" s="13" t="inlineStr">
        <is>
          <t>0.5s</t>
        </is>
      </c>
      <c r="I82" s="13" t="inlineStr">
        <is>
          <t>0.5s</t>
        </is>
      </c>
      <c r="J82" s="13" t="inlineStr">
        <is>
          <t>1s</t>
        </is>
      </c>
      <c r="K82" s="13" t="inlineStr">
        <is>
          <t>1s</t>
        </is>
      </c>
      <c r="L82" s="13" t="inlineStr">
        <is>
          <t>1.5s</t>
        </is>
      </c>
    </row>
    <row r="83">
      <c r="A83" s="8" t="inlineStr">
        <is>
          <t>Charlie</t>
        </is>
      </c>
      <c r="B83" s="8" t="n">
        <v>1</v>
      </c>
      <c r="C83" s="8" t="inlineStr">
        <is>
          <t>Expedition</t>
        </is>
      </c>
      <c r="D83" s="8" t="n">
        <v>1</v>
      </c>
      <c r="E83" s="8" t="inlineStr">
        <is>
          <t>Demolitions Expert</t>
        </is>
      </c>
      <c r="F83" s="8" t="inlineStr">
        <is>
          <t>Raises production from your City Coal Mine. A gathering-only perk.</t>
        </is>
      </c>
      <c r="G83" s="8" t="inlineStr">
        <is>
          <t>Coal Mine output</t>
        </is>
      </c>
      <c r="H83" s="13" t="inlineStr">
        <is>
          <t>5%</t>
        </is>
      </c>
      <c r="I83" s="13" t="inlineStr">
        <is>
          <t>10%</t>
        </is>
      </c>
      <c r="J83" s="13" t="inlineStr">
        <is>
          <t>15%</t>
        </is>
      </c>
      <c r="K83" s="13" t="inlineStr">
        <is>
          <t>20%</t>
        </is>
      </c>
      <c r="L83" s="13" t="inlineStr">
        <is>
          <t>25%</t>
        </is>
      </c>
    </row>
    <row r="84">
      <c r="A84" s="8" t="inlineStr">
        <is>
          <t>Charlie</t>
        </is>
      </c>
      <c r="B84" s="8" t="n">
        <v>1</v>
      </c>
      <c r="C84" s="8" t="inlineStr">
        <is>
          <t>Expedition</t>
        </is>
      </c>
      <c r="D84" s="8" t="n">
        <v>2</v>
      </c>
      <c r="E84" s="8" t="inlineStr">
        <is>
          <t>Coal Extraction</t>
        </is>
      </c>
      <c r="F84" s="8" t="inlineStr">
        <is>
          <t>Speeds up coal gathering on the world map. A gathering-only perk.</t>
        </is>
      </c>
      <c r="G84" s="8" t="inlineStr">
        <is>
          <t>Coal gathering speed</t>
        </is>
      </c>
      <c r="H84" s="13" t="inlineStr">
        <is>
          <t>5%</t>
        </is>
      </c>
      <c r="I84" s="13" t="inlineStr">
        <is>
          <t>10%</t>
        </is>
      </c>
      <c r="J84" s="13" t="inlineStr">
        <is>
          <t>15%</t>
        </is>
      </c>
      <c r="K84" s="13" t="inlineStr">
        <is>
          <t>20%</t>
        </is>
      </c>
      <c r="L84" s="13" t="inlineStr">
        <is>
          <t>25%</t>
        </is>
      </c>
    </row>
    <row r="85">
      <c r="A85" s="8" t="inlineStr">
        <is>
          <t>Cloris</t>
        </is>
      </c>
      <c r="B85" s="8" t="n">
        <v>1</v>
      </c>
      <c r="C85" s="8" t="inlineStr">
        <is>
          <t>Exploration</t>
        </is>
      </c>
      <c r="D85" s="8" t="n">
        <v>1</v>
      </c>
      <c r="E85" s="8" t="inlineStr">
        <is>
          <t>Rain of Arrows</t>
        </is>
      </c>
      <c r="F85" s="8" t="inlineStr">
        <is>
          <t>Rains arrows on an area, damaging everything around the target.</t>
        </is>
      </c>
      <c r="G85" s="8" t="inlineStr">
        <is>
          <t>Area damage (x Attack)</t>
        </is>
      </c>
      <c r="H85" s="13" t="inlineStr">
        <is>
          <t>180%</t>
        </is>
      </c>
      <c r="I85" s="13" t="inlineStr">
        <is>
          <t>198%</t>
        </is>
      </c>
      <c r="J85" s="13" t="inlineStr">
        <is>
          <t>216%</t>
        </is>
      </c>
      <c r="K85" s="13" t="inlineStr">
        <is>
          <t>234%</t>
        </is>
      </c>
      <c r="L85" s="13" t="inlineStr">
        <is>
          <t>252%</t>
        </is>
      </c>
    </row>
    <row r="86">
      <c r="A86" s="8" t="inlineStr">
        <is>
          <t>Cloris</t>
        </is>
      </c>
      <c r="B86" s="8" t="n">
        <v>1</v>
      </c>
      <c r="C86" s="8" t="inlineStr">
        <is>
          <t>Exploration</t>
        </is>
      </c>
      <c r="D86" s="8" t="n">
        <v>2</v>
      </c>
      <c r="E86" s="8" t="inlineStr">
        <is>
          <t>Hunter's Mark</t>
        </is>
      </c>
      <c r="F86" s="8" t="inlineStr">
        <is>
          <t>Marks one target so it takes extra damage from that attack.</t>
        </is>
      </c>
      <c r="G86" s="8" t="inlineStr">
        <is>
          <t>Extra damage on target</t>
        </is>
      </c>
      <c r="H86" s="13" t="inlineStr">
        <is>
          <t>10%</t>
        </is>
      </c>
      <c r="I86" s="13" t="inlineStr">
        <is>
          <t>15%</t>
        </is>
      </c>
      <c r="J86" s="13" t="inlineStr">
        <is>
          <t>20%</t>
        </is>
      </c>
      <c r="K86" s="13" t="inlineStr">
        <is>
          <t>25%</t>
        </is>
      </c>
      <c r="L86" s="13" t="inlineStr">
        <is>
          <t>30%</t>
        </is>
      </c>
    </row>
    <row r="87">
      <c r="A87" s="8" t="inlineStr">
        <is>
          <t>Cloris</t>
        </is>
      </c>
      <c r="B87" s="8" t="n">
        <v>1</v>
      </c>
      <c r="C87" s="8" t="inlineStr">
        <is>
          <t>Expedition</t>
        </is>
      </c>
      <c r="D87" s="8" t="n">
        <v>1</v>
      </c>
      <c r="E87" s="8" t="inlineStr">
        <is>
          <t>Top Hunter</t>
        </is>
      </c>
      <c r="F87" s="8" t="inlineStr">
        <is>
          <t>Raises production from your City Hunter's Hut. A gathering-only perk.</t>
        </is>
      </c>
      <c r="G87" s="8" t="inlineStr">
        <is>
          <t>Hunter's Hut output</t>
        </is>
      </c>
      <c r="H87" s="13" t="inlineStr">
        <is>
          <t>5%</t>
        </is>
      </c>
      <c r="I87" s="13" t="inlineStr">
        <is>
          <t>10%</t>
        </is>
      </c>
      <c r="J87" s="13" t="inlineStr">
        <is>
          <t>15%</t>
        </is>
      </c>
      <c r="K87" s="13" t="inlineStr">
        <is>
          <t>20%</t>
        </is>
      </c>
      <c r="L87" s="13" t="inlineStr">
        <is>
          <t>25%</t>
        </is>
      </c>
    </row>
    <row r="88">
      <c r="A88" s="8" t="inlineStr">
        <is>
          <t>Cloris</t>
        </is>
      </c>
      <c r="B88" s="8" t="n">
        <v>1</v>
      </c>
      <c r="C88" s="8" t="inlineStr">
        <is>
          <t>Expedition</t>
        </is>
      </c>
      <c r="D88" s="8" t="n">
        <v>2</v>
      </c>
      <c r="E88" s="8" t="inlineStr">
        <is>
          <t>Predator</t>
        </is>
      </c>
      <c r="F88" s="8" t="inlineStr">
        <is>
          <t>Speeds up meat gathering on the world map. A gathering-only perk.</t>
        </is>
      </c>
      <c r="G88" s="8" t="inlineStr">
        <is>
          <t>Meat gathering speed</t>
        </is>
      </c>
      <c r="H88" s="13" t="inlineStr">
        <is>
          <t>5%</t>
        </is>
      </c>
      <c r="I88" s="13" t="inlineStr">
        <is>
          <t>10%</t>
        </is>
      </c>
      <c r="J88" s="13" t="inlineStr">
        <is>
          <t>15%</t>
        </is>
      </c>
      <c r="K88" s="13" t="inlineStr">
        <is>
          <t>20%</t>
        </is>
      </c>
      <c r="L88" s="13" t="inlineStr">
        <is>
          <t>25%</t>
        </is>
      </c>
    </row>
    <row r="89">
      <c r="A89" s="8" t="inlineStr">
        <is>
          <t>Eugene</t>
        </is>
      </c>
      <c r="B89" s="8" t="n">
        <v>1</v>
      </c>
      <c r="C89" s="8" t="inlineStr">
        <is>
          <t>Exploration</t>
        </is>
      </c>
      <c r="D89" s="8" t="n">
        <v>1</v>
      </c>
      <c r="E89" s="8" t="inlineStr">
        <is>
          <t>Axe Whirl</t>
        </is>
      </c>
      <c r="F89" s="8" t="inlineStr">
        <is>
          <t>Spins his axe, hitting nearby enemies every half second for 3 seconds.</t>
        </is>
      </c>
      <c r="G89" s="8" t="inlineStr">
        <is>
          <t>Damage per tick (x Attack)</t>
        </is>
      </c>
      <c r="H89" s="13" t="inlineStr">
        <is>
          <t>80%</t>
        </is>
      </c>
      <c r="I89" s="13" t="inlineStr">
        <is>
          <t>88%</t>
        </is>
      </c>
      <c r="J89" s="13" t="inlineStr">
        <is>
          <t>96%</t>
        </is>
      </c>
      <c r="K89" s="13" t="inlineStr">
        <is>
          <t>104%</t>
        </is>
      </c>
      <c r="L89" s="13" t="inlineStr">
        <is>
          <t>110%</t>
        </is>
      </c>
    </row>
    <row r="90">
      <c r="A90" s="8" t="inlineStr">
        <is>
          <t>Eugene</t>
        </is>
      </c>
      <c r="B90" s="8" t="n">
        <v>1</v>
      </c>
      <c r="C90" s="8" t="inlineStr">
        <is>
          <t>Exploration</t>
        </is>
      </c>
      <c r="D90" s="8" t="n">
        <v>2</v>
      </c>
      <c r="E90" s="8" t="inlineStr">
        <is>
          <t>Razor Sharp</t>
        </is>
      </c>
      <c r="F90" s="8" t="inlineStr">
        <is>
          <t>Adds extra damage every second on top of his normal output.</t>
        </is>
      </c>
      <c r="G90" s="8" t="inlineStr">
        <is>
          <t>Extra damage per second</t>
        </is>
      </c>
      <c r="H90" s="13" t="inlineStr">
        <is>
          <t>10%</t>
        </is>
      </c>
      <c r="I90" s="13" t="inlineStr">
        <is>
          <t>15%</t>
        </is>
      </c>
      <c r="J90" s="13" t="inlineStr">
        <is>
          <t>20%</t>
        </is>
      </c>
      <c r="K90" s="13" t="inlineStr">
        <is>
          <t>25%</t>
        </is>
      </c>
      <c r="L90" s="13" t="inlineStr">
        <is>
          <t>30%</t>
        </is>
      </c>
    </row>
    <row r="91">
      <c r="A91" s="8" t="inlineStr">
        <is>
          <t>Eugene</t>
        </is>
      </c>
      <c r="B91" s="8" t="n">
        <v>1</v>
      </c>
      <c r="C91" s="8" t="inlineStr">
        <is>
          <t>Expedition</t>
        </is>
      </c>
      <c r="D91" s="8" t="n">
        <v>1</v>
      </c>
      <c r="E91" s="8" t="inlineStr">
        <is>
          <t>Woodland Inheritor</t>
        </is>
      </c>
      <c r="F91" s="8" t="inlineStr">
        <is>
          <t>Raises production from your City Sawmill. A gathering-only perk.</t>
        </is>
      </c>
      <c r="G91" s="8" t="inlineStr">
        <is>
          <t>Sawmill output</t>
        </is>
      </c>
      <c r="H91" s="13" t="inlineStr">
        <is>
          <t>5%</t>
        </is>
      </c>
      <c r="I91" s="13" t="inlineStr">
        <is>
          <t>10%</t>
        </is>
      </c>
      <c r="J91" s="13" t="inlineStr">
        <is>
          <t>15%</t>
        </is>
      </c>
      <c r="K91" s="13" t="inlineStr">
        <is>
          <t>20%</t>
        </is>
      </c>
      <c r="L91" s="13" t="inlineStr">
        <is>
          <t>25%</t>
        </is>
      </c>
    </row>
    <row r="92">
      <c r="A92" s="8" t="inlineStr">
        <is>
          <t>Eugene</t>
        </is>
      </c>
      <c r="B92" s="8" t="n">
        <v>1</v>
      </c>
      <c r="C92" s="8" t="inlineStr">
        <is>
          <t>Expedition</t>
        </is>
      </c>
      <c r="D92" s="8" t="n">
        <v>2</v>
      </c>
      <c r="E92" s="8" t="inlineStr">
        <is>
          <t>Master Woodcutter</t>
        </is>
      </c>
      <c r="F92" s="8" t="inlineStr">
        <is>
          <t>Speeds up wood gathering on the world map. A gathering-only perk.</t>
        </is>
      </c>
      <c r="G92" s="8" t="inlineStr">
        <is>
          <t>Wood gathering speed</t>
        </is>
      </c>
      <c r="H92" s="13" t="inlineStr">
        <is>
          <t>5%</t>
        </is>
      </c>
      <c r="I92" s="13" t="inlineStr">
        <is>
          <t>10%</t>
        </is>
      </c>
      <c r="J92" s="13" t="inlineStr">
        <is>
          <t>15%</t>
        </is>
      </c>
      <c r="K92" s="13" t="inlineStr">
        <is>
          <t>20%</t>
        </is>
      </c>
      <c r="L92" s="13" t="inlineStr">
        <is>
          <t>25%</t>
        </is>
      </c>
    </row>
    <row r="93">
      <c r="A93" s="8" t="inlineStr">
        <is>
          <t>Smith</t>
        </is>
      </c>
      <c r="B93" s="8" t="n">
        <v>1</v>
      </c>
      <c r="C93" s="8" t="inlineStr">
        <is>
          <t>Exploration</t>
        </is>
      </c>
      <c r="D93" s="8" t="n">
        <v>1</v>
      </c>
      <c r="E93" s="8" t="inlineStr">
        <is>
          <t>Hammer Burn</t>
        </is>
      </c>
      <c r="F93" s="8" t="inlineStr">
        <is>
          <t>A sweeping hammer swing for big damage in front of him.</t>
        </is>
      </c>
      <c r="G93" s="8" t="inlineStr">
        <is>
          <t>Damage (x Attack)</t>
        </is>
      </c>
      <c r="H93" s="13" t="inlineStr">
        <is>
          <t>200%</t>
        </is>
      </c>
      <c r="I93" s="13" t="inlineStr">
        <is>
          <t>220%</t>
        </is>
      </c>
      <c r="J93" s="13" t="inlineStr">
        <is>
          <t>240%</t>
        </is>
      </c>
      <c r="K93" s="13" t="inlineStr">
        <is>
          <t>260%</t>
        </is>
      </c>
      <c r="L93" s="13" t="inlineStr">
        <is>
          <t>280%</t>
        </is>
      </c>
    </row>
    <row r="94">
      <c r="A94" s="8" t="inlineStr">
        <is>
          <t>Smith</t>
        </is>
      </c>
      <c r="B94" s="8" t="n">
        <v>1</v>
      </c>
      <c r="C94" s="8" t="inlineStr">
        <is>
          <t>Exploration</t>
        </is>
      </c>
      <c r="D94" s="8" t="n">
        <v>2</v>
      </c>
      <c r="E94" s="8" t="inlineStr">
        <is>
          <t>Armor Enhancement</t>
        </is>
      </c>
      <c r="F94" s="8" t="inlineStr">
        <is>
          <t>Cuts the damage he takes.</t>
        </is>
      </c>
      <c r="G94" s="8" t="inlineStr">
        <is>
          <t>Damage taken reduction</t>
        </is>
      </c>
      <c r="H94" s="13" t="inlineStr">
        <is>
          <t>10%</t>
        </is>
      </c>
      <c r="I94" s="13" t="inlineStr">
        <is>
          <t>15%</t>
        </is>
      </c>
      <c r="J94" s="13" t="inlineStr">
        <is>
          <t>20%</t>
        </is>
      </c>
      <c r="K94" s="13" t="inlineStr">
        <is>
          <t>25%</t>
        </is>
      </c>
      <c r="L94" s="13" t="inlineStr">
        <is>
          <t>30%</t>
        </is>
      </c>
    </row>
    <row r="95">
      <c r="A95" s="8" t="inlineStr">
        <is>
          <t>Smith</t>
        </is>
      </c>
      <c r="B95" s="8" t="n">
        <v>1</v>
      </c>
      <c r="C95" s="8" t="inlineStr">
        <is>
          <t>Expedition</t>
        </is>
      </c>
      <c r="D95" s="8" t="n">
        <v>1</v>
      </c>
      <c r="E95" s="8" t="inlineStr">
        <is>
          <t>Burnished Iron</t>
        </is>
      </c>
      <c r="F95" s="8" t="inlineStr">
        <is>
          <t>Raises production from your City Iron Mine. A gathering-only perk.</t>
        </is>
      </c>
      <c r="G95" s="8" t="inlineStr">
        <is>
          <t>Iron Mine output</t>
        </is>
      </c>
      <c r="H95" s="13" t="inlineStr">
        <is>
          <t>5%</t>
        </is>
      </c>
      <c r="I95" s="13" t="inlineStr">
        <is>
          <t>10%</t>
        </is>
      </c>
      <c r="J95" s="13" t="inlineStr">
        <is>
          <t>15%</t>
        </is>
      </c>
      <c r="K95" s="13" t="inlineStr">
        <is>
          <t>20%</t>
        </is>
      </c>
      <c r="L95" s="13" t="inlineStr">
        <is>
          <t>25%</t>
        </is>
      </c>
    </row>
    <row r="96">
      <c r="A96" s="8" t="inlineStr">
        <is>
          <t>Smith</t>
        </is>
      </c>
      <c r="B96" s="8" t="n">
        <v>1</v>
      </c>
      <c r="C96" s="8" t="inlineStr">
        <is>
          <t>Expedition</t>
        </is>
      </c>
      <c r="D96" s="8" t="n">
        <v>2</v>
      </c>
      <c r="E96" s="8" t="inlineStr">
        <is>
          <t>Craftsmanship</t>
        </is>
      </c>
      <c r="F96" s="8" t="inlineStr">
        <is>
          <t>Speeds up iron gathering on the world map. A gathering-only perk.</t>
        </is>
      </c>
      <c r="G96" s="8" t="inlineStr">
        <is>
          <t>Iron gathering speed</t>
        </is>
      </c>
      <c r="H96" s="13" t="inlineStr">
        <is>
          <t>5%</t>
        </is>
      </c>
      <c r="I96" s="13" t="inlineStr">
        <is>
          <t>10%</t>
        </is>
      </c>
      <c r="J96" s="13" t="inlineStr">
        <is>
          <t>15%</t>
        </is>
      </c>
      <c r="K96" s="13" t="inlineStr">
        <is>
          <t>20%</t>
        </is>
      </c>
      <c r="L96" s="13" t="inlineStr">
        <is>
          <t>25%</t>
        </is>
      </c>
    </row>
    <row r="97">
      <c r="A97" s="8" t="inlineStr">
        <is>
          <t>Alonso</t>
        </is>
      </c>
      <c r="B97" s="8" t="n">
        <v>2</v>
      </c>
      <c r="C97" s="8" t="inlineStr">
        <is>
          <t>Exploration</t>
        </is>
      </c>
      <c r="D97" s="8" t="n">
        <v>1</v>
      </c>
      <c r="E97" s="8" t="inlineStr">
        <is>
          <t>Trapnet</t>
        </is>
      </c>
      <c r="F97" s="8" t="inlineStr">
        <is>
          <t>Casts a net over an area, hitting enemies and holding them in place for 1.5 seconds.</t>
        </is>
      </c>
      <c r="G97" s="8" t="inlineStr">
        <is>
          <t>Area damage (x Attack)</t>
        </is>
      </c>
      <c r="H97" s="13" t="inlineStr">
        <is>
          <t>200%</t>
        </is>
      </c>
      <c r="I97" s="13" t="inlineStr">
        <is>
          <t>220%</t>
        </is>
      </c>
      <c r="J97" s="13" t="inlineStr">
        <is>
          <t>240%</t>
        </is>
      </c>
      <c r="K97" s="13" t="inlineStr">
        <is>
          <t>260%</t>
        </is>
      </c>
      <c r="L97" s="13" t="inlineStr">
        <is>
          <t>280%</t>
        </is>
      </c>
    </row>
    <row r="98">
      <c r="A98" s="8" t="inlineStr">
        <is>
          <t>Alonso</t>
        </is>
      </c>
      <c r="B98" s="8" t="n">
        <v>2</v>
      </c>
      <c r="C98" s="8" t="inlineStr">
        <is>
          <t>Exploration</t>
        </is>
      </c>
      <c r="D98" s="8" t="n">
        <v>2</v>
      </c>
      <c r="E98" s="8" t="inlineStr">
        <is>
          <t>Tidal Force</t>
        </is>
      </c>
      <c r="F98" s="8" t="inlineStr">
        <is>
          <t>Fires a harpoon with heavy force at a target for area damage.</t>
        </is>
      </c>
      <c r="G98" s="8" t="inlineStr">
        <is>
          <t>Area damage (x Attack)</t>
        </is>
      </c>
      <c r="H98" s="13" t="inlineStr">
        <is>
          <t>50%</t>
        </is>
      </c>
      <c r="I98" s="13" t="inlineStr">
        <is>
          <t>55%</t>
        </is>
      </c>
      <c r="J98" s="13" t="inlineStr">
        <is>
          <t>60%</t>
        </is>
      </c>
      <c r="K98" s="13" t="inlineStr">
        <is>
          <t>65%</t>
        </is>
      </c>
      <c r="L98" s="13" t="inlineStr">
        <is>
          <t>70%</t>
        </is>
      </c>
    </row>
    <row r="99">
      <c r="A99" s="8" t="inlineStr">
        <is>
          <t>Alonso</t>
        </is>
      </c>
      <c r="B99" s="8" t="n">
        <v>2</v>
      </c>
      <c r="C99" s="8" t="inlineStr">
        <is>
          <t>Exploration</t>
        </is>
      </c>
      <c r="D99" s="8" t="n">
        <v>3</v>
      </c>
      <c r="E99" s="8" t="inlineStr">
        <is>
          <t>Harpoon Blast</t>
        </is>
      </c>
      <c r="F99" s="8" t="inlineStr">
        <is>
          <t>After a set number of hits, his harpoon stuns the target briefly. Higher levels stun longer and need fewer hits.</t>
        </is>
      </c>
      <c r="G99" s="8" t="inlineStr">
        <is>
          <t>Stun duration</t>
        </is>
      </c>
      <c r="H99" s="13" t="inlineStr">
        <is>
          <t>0.2s</t>
        </is>
      </c>
      <c r="I99" s="13" t="inlineStr">
        <is>
          <t>0.2s</t>
        </is>
      </c>
      <c r="J99" s="13" t="inlineStr">
        <is>
          <t>0.4s</t>
        </is>
      </c>
      <c r="K99" s="13" t="inlineStr">
        <is>
          <t>0.4s</t>
        </is>
      </c>
      <c r="L99" s="13" t="inlineStr">
        <is>
          <t>0.5s</t>
        </is>
      </c>
    </row>
    <row r="100">
      <c r="A100" s="8" t="inlineStr">
        <is>
          <t>Alonso</t>
        </is>
      </c>
      <c r="B100" s="8" t="n">
        <v>2</v>
      </c>
      <c r="C100" s="8" t="inlineStr">
        <is>
          <t>Exploration</t>
        </is>
      </c>
      <c r="D100" s="8" t="n">
        <v>3</v>
      </c>
      <c r="E100" s="8" t="inlineStr">
        <is>
          <t>Harpoon Blast</t>
        </is>
      </c>
      <c r="F100" s="8" t="inlineStr">
        <is>
          <t>After a set number of hits, his harpoon stuns the target briefly. Higher levels stun longer and need fewer hits.</t>
        </is>
      </c>
      <c r="G100" s="8" t="inlineStr">
        <is>
          <t>Hits needed</t>
        </is>
      </c>
      <c r="H100" s="13" t="inlineStr">
        <is>
          <t>8</t>
        </is>
      </c>
      <c r="I100" s="13" t="inlineStr">
        <is>
          <t>7</t>
        </is>
      </c>
      <c r="J100" s="13" t="inlineStr">
        <is>
          <t>7</t>
        </is>
      </c>
      <c r="K100" s="13" t="inlineStr">
        <is>
          <t>6</t>
        </is>
      </c>
      <c r="L100" s="13" t="inlineStr">
        <is>
          <t>5</t>
        </is>
      </c>
    </row>
    <row r="101">
      <c r="A101" s="8" t="inlineStr">
        <is>
          <t>Alonso</t>
        </is>
      </c>
      <c r="B101" s="8" t="n">
        <v>2</v>
      </c>
      <c r="C101" s="8" t="inlineStr">
        <is>
          <t>Expedition</t>
        </is>
      </c>
      <c r="D101" s="8" t="n">
        <v>1</v>
      </c>
      <c r="E101" s="8" t="inlineStr">
        <is>
          <t>Onslaught</t>
        </is>
      </c>
      <c r="F101" s="8" t="inlineStr">
        <is>
          <t>40% chance to raise your whole squad's Lethality.</t>
        </is>
      </c>
      <c r="G101" s="8" t="inlineStr">
        <is>
          <t>Lethality bonus on proc</t>
        </is>
      </c>
      <c r="H101" s="13" t="inlineStr">
        <is>
          <t>10%</t>
        </is>
      </c>
      <c r="I101" s="13" t="inlineStr">
        <is>
          <t>20%</t>
        </is>
      </c>
      <c r="J101" s="13" t="inlineStr">
        <is>
          <t>30%</t>
        </is>
      </c>
      <c r="K101" s="13" t="inlineStr">
        <is>
          <t>40%</t>
        </is>
      </c>
      <c r="L101" s="13" t="inlineStr">
        <is>
          <t>50%</t>
        </is>
      </c>
    </row>
    <row r="102">
      <c r="A102" s="8" t="inlineStr">
        <is>
          <t>Alonso</t>
        </is>
      </c>
      <c r="B102" s="8" t="n">
        <v>2</v>
      </c>
      <c r="C102" s="8" t="inlineStr">
        <is>
          <t>Expedition</t>
        </is>
      </c>
      <c r="D102" s="8" t="n">
        <v>2</v>
      </c>
      <c r="E102" s="8" t="inlineStr">
        <is>
          <t>Iron Strength</t>
        </is>
      </c>
      <c r="F102" s="8" t="inlineStr">
        <is>
          <t>Troop attacks have a 20% chance to reduce the damage enemy troops deal for 2 turns.</t>
        </is>
      </c>
      <c r="G102" s="8" t="inlineStr">
        <is>
          <t>Enemy damage reduction on proc</t>
        </is>
      </c>
      <c r="H102" s="13" t="inlineStr">
        <is>
          <t>10%</t>
        </is>
      </c>
      <c r="I102" s="13" t="inlineStr">
        <is>
          <t>20%</t>
        </is>
      </c>
      <c r="J102" s="13" t="inlineStr">
        <is>
          <t>30%</t>
        </is>
      </c>
      <c r="K102" s="13" t="inlineStr">
        <is>
          <t>40%</t>
        </is>
      </c>
      <c r="L102" s="13" t="inlineStr">
        <is>
          <t>50%</t>
        </is>
      </c>
    </row>
    <row r="103">
      <c r="A103" s="8" t="inlineStr">
        <is>
          <t>Alonso</t>
        </is>
      </c>
      <c r="B103" s="8" t="n">
        <v>2</v>
      </c>
      <c r="C103" s="8" t="inlineStr">
        <is>
          <t>Expedition</t>
        </is>
      </c>
      <c r="D103" s="8" t="n">
        <v>3</v>
      </c>
      <c r="E103" s="8" t="inlineStr">
        <is>
          <t>Poison Harpoon</t>
        </is>
      </c>
      <c r="F103" s="8" t="inlineStr">
        <is>
          <t>Troop attacks have a 50% chance to deal extra damage.</t>
        </is>
      </c>
      <c r="G103" s="8" t="inlineStr">
        <is>
          <t>Extra damage on proc</t>
        </is>
      </c>
      <c r="H103" s="13" t="inlineStr">
        <is>
          <t>10%</t>
        </is>
      </c>
      <c r="I103" s="13" t="inlineStr">
        <is>
          <t>20%</t>
        </is>
      </c>
      <c r="J103" s="13" t="inlineStr">
        <is>
          <t>30%</t>
        </is>
      </c>
      <c r="K103" s="13" t="inlineStr">
        <is>
          <t>40%</t>
        </is>
      </c>
      <c r="L103" s="13" t="inlineStr">
        <is>
          <t>50%</t>
        </is>
      </c>
    </row>
    <row r="104">
      <c r="A104" s="8" t="inlineStr">
        <is>
          <t>Flint</t>
        </is>
      </c>
      <c r="B104" s="8" t="n">
        <v>2</v>
      </c>
      <c r="C104" s="8" t="inlineStr">
        <is>
          <t>Exploration</t>
        </is>
      </c>
      <c r="D104" s="8" t="n">
        <v>1</v>
      </c>
      <c r="E104" s="8" t="inlineStr">
        <is>
          <t>Fires of Vengeance</t>
        </is>
      </c>
      <c r="F104" s="8" t="inlineStr">
        <is>
          <t>Breathes fire at the target every half second and makes it take extra damage for 2 seconds.</t>
        </is>
      </c>
      <c r="G104" s="8" t="inlineStr">
        <is>
          <t>Damage per tick (x Attack)</t>
        </is>
      </c>
      <c r="H104" s="13" t="inlineStr">
        <is>
          <t>60%</t>
        </is>
      </c>
      <c r="I104" s="13" t="inlineStr">
        <is>
          <t>66%</t>
        </is>
      </c>
      <c r="J104" s="13" t="inlineStr">
        <is>
          <t>72%</t>
        </is>
      </c>
      <c r="K104" s="13" t="inlineStr">
        <is>
          <t>78%</t>
        </is>
      </c>
      <c r="L104" s="13" t="inlineStr">
        <is>
          <t>84%</t>
        </is>
      </c>
    </row>
    <row r="105">
      <c r="A105" s="8" t="inlineStr">
        <is>
          <t>Flint</t>
        </is>
      </c>
      <c r="B105" s="8" t="n">
        <v>2</v>
      </c>
      <c r="C105" s="8" t="inlineStr">
        <is>
          <t>Exploration</t>
        </is>
      </c>
      <c r="D105" s="8" t="n">
        <v>1</v>
      </c>
      <c r="E105" s="8" t="inlineStr">
        <is>
          <t>Fires of Vengeance</t>
        </is>
      </c>
      <c r="F105" s="8" t="inlineStr">
        <is>
          <t>Breathes fire at the target every half second and makes it take extra damage for 2 seconds.</t>
        </is>
      </c>
      <c r="G105" s="8" t="inlineStr">
        <is>
          <t>Extra damage taken by target</t>
        </is>
      </c>
      <c r="H105" s="13" t="inlineStr">
        <is>
          <t>10%</t>
        </is>
      </c>
      <c r="I105" s="13" t="inlineStr">
        <is>
          <t>15%</t>
        </is>
      </c>
      <c r="J105" s="13" t="inlineStr">
        <is>
          <t>20%</t>
        </is>
      </c>
      <c r="K105" s="13" t="inlineStr">
        <is>
          <t>25%</t>
        </is>
      </c>
      <c r="L105" s="13" t="inlineStr">
        <is>
          <t>30%</t>
        </is>
      </c>
    </row>
    <row r="106">
      <c r="A106" s="8" t="inlineStr">
        <is>
          <t>Flint</t>
        </is>
      </c>
      <c r="B106" s="8" t="n">
        <v>2</v>
      </c>
      <c r="C106" s="8" t="inlineStr">
        <is>
          <t>Exploration</t>
        </is>
      </c>
      <c r="D106" s="8" t="n">
        <v>2</v>
      </c>
      <c r="E106" s="8" t="inlineStr">
        <is>
          <t>Incinerator</t>
        </is>
      </c>
      <c r="F106" s="8" t="inlineStr">
        <is>
          <t>Once, when his Health falls below 50%, he instantly heals back part of his max Health. It can only trigger once per fight.</t>
        </is>
      </c>
      <c r="G106" s="8" t="inlineStr">
        <is>
          <t>Heal (% max Health)</t>
        </is>
      </c>
      <c r="H106" s="13" t="inlineStr">
        <is>
          <t>20%</t>
        </is>
      </c>
      <c r="I106" s="13" t="inlineStr">
        <is>
          <t>25%</t>
        </is>
      </c>
      <c r="J106" s="13" t="inlineStr">
        <is>
          <t>30%</t>
        </is>
      </c>
      <c r="K106" s="13" t="inlineStr">
        <is>
          <t>35%</t>
        </is>
      </c>
      <c r="L106" s="13" t="inlineStr">
        <is>
          <t>40%</t>
        </is>
      </c>
    </row>
    <row r="107">
      <c r="A107" s="8" t="inlineStr">
        <is>
          <t>Flint</t>
        </is>
      </c>
      <c r="B107" s="8" t="n">
        <v>2</v>
      </c>
      <c r="C107" s="8" t="inlineStr">
        <is>
          <t>Exploration</t>
        </is>
      </c>
      <c r="D107" s="8" t="n">
        <v>3</v>
      </c>
      <c r="E107" s="8" t="inlineStr">
        <is>
          <t>Heat Diffusion</t>
        </is>
      </c>
      <c r="F107" s="8" t="inlineStr">
        <is>
          <t>Boosts the Attack Speed of your whole hero team.</t>
        </is>
      </c>
      <c r="G107" s="8" t="inlineStr">
        <is>
          <t>Attack Speed bonus</t>
        </is>
      </c>
      <c r="H107" s="13" t="inlineStr">
        <is>
          <t>3%</t>
        </is>
      </c>
      <c r="I107" s="13" t="inlineStr">
        <is>
          <t>4%</t>
        </is>
      </c>
      <c r="J107" s="13" t="inlineStr">
        <is>
          <t>5%</t>
        </is>
      </c>
      <c r="K107" s="13" t="inlineStr">
        <is>
          <t>6%</t>
        </is>
      </c>
      <c r="L107" s="13" t="inlineStr">
        <is>
          <t>7%</t>
        </is>
      </c>
    </row>
    <row r="108">
      <c r="A108" s="8" t="inlineStr">
        <is>
          <t>Flint</t>
        </is>
      </c>
      <c r="B108" s="8" t="n">
        <v>2</v>
      </c>
      <c r="C108" s="8" t="inlineStr">
        <is>
          <t>Expedition</t>
        </is>
      </c>
      <c r="D108" s="8" t="n">
        <v>1</v>
      </c>
      <c r="E108" s="8" t="inlineStr">
        <is>
          <t>Pyromaniac</t>
        </is>
      </c>
      <c r="F108" s="8" t="inlineStr">
        <is>
          <t>Increases the damage dealt by your Infantry troops specifically.</t>
        </is>
      </c>
      <c r="G108" s="8" t="inlineStr">
        <is>
          <t>Infantry damage bonus</t>
        </is>
      </c>
      <c r="H108" s="13" t="inlineStr">
        <is>
          <t>20%</t>
        </is>
      </c>
      <c r="I108" s="13" t="inlineStr">
        <is>
          <t>40%</t>
        </is>
      </c>
      <c r="J108" s="13" t="inlineStr">
        <is>
          <t>60%</t>
        </is>
      </c>
      <c r="K108" s="13" t="inlineStr">
        <is>
          <t>80%</t>
        </is>
      </c>
      <c r="L108" s="13" t="inlineStr">
        <is>
          <t>100%</t>
        </is>
      </c>
    </row>
    <row r="109">
      <c r="A109" s="8" t="inlineStr">
        <is>
          <t>Flint</t>
        </is>
      </c>
      <c r="B109" s="8" t="n">
        <v>2</v>
      </c>
      <c r="C109" s="8" t="inlineStr">
        <is>
          <t>Expedition</t>
        </is>
      </c>
      <c r="D109" s="8" t="n">
        <v>2</v>
      </c>
      <c r="E109" s="8" t="inlineStr">
        <is>
          <t>Burning Resolve</t>
        </is>
      </c>
      <c r="F109" s="8" t="inlineStr">
        <is>
          <t>Raises the Attack of every troop in your squad.</t>
        </is>
      </c>
      <c r="G109" s="8" t="inlineStr">
        <is>
          <t>Attack bonus</t>
        </is>
      </c>
      <c r="H109" s="13" t="inlineStr">
        <is>
          <t>5%</t>
        </is>
      </c>
      <c r="I109" s="13" t="inlineStr">
        <is>
          <t>10%</t>
        </is>
      </c>
      <c r="J109" s="13" t="inlineStr">
        <is>
          <t>15%</t>
        </is>
      </c>
      <c r="K109" s="13" t="inlineStr">
        <is>
          <t>20%</t>
        </is>
      </c>
      <c r="L109" s="13" t="inlineStr">
        <is>
          <t>25%</t>
        </is>
      </c>
    </row>
    <row r="110">
      <c r="A110" s="8" t="inlineStr">
        <is>
          <t>Flint</t>
        </is>
      </c>
      <c r="B110" s="8" t="n">
        <v>2</v>
      </c>
      <c r="C110" s="8" t="inlineStr">
        <is>
          <t>Expedition</t>
        </is>
      </c>
      <c r="D110" s="8" t="n">
        <v>3</v>
      </c>
      <c r="E110" s="8" t="inlineStr">
        <is>
          <t>Immolation</t>
        </is>
      </c>
      <c r="F110" s="8" t="inlineStr">
        <is>
          <t>Raises the Lethality of every troop in your squad.</t>
        </is>
      </c>
      <c r="G110" s="8" t="inlineStr">
        <is>
          <t>Lethality bonus</t>
        </is>
      </c>
      <c r="H110" s="13" t="inlineStr">
        <is>
          <t>5%</t>
        </is>
      </c>
      <c r="I110" s="13" t="inlineStr">
        <is>
          <t>10%</t>
        </is>
      </c>
      <c r="J110" s="13" t="inlineStr">
        <is>
          <t>15%</t>
        </is>
      </c>
      <c r="K110" s="13" t="inlineStr">
        <is>
          <t>20%</t>
        </is>
      </c>
      <c r="L110" s="13" t="inlineStr">
        <is>
          <t>25%</t>
        </is>
      </c>
    </row>
    <row r="111">
      <c r="A111" s="8" t="inlineStr">
        <is>
          <t>Philly</t>
        </is>
      </c>
      <c r="B111" s="8" t="n">
        <v>2</v>
      </c>
      <c r="C111" s="8" t="inlineStr">
        <is>
          <t>Exploration</t>
        </is>
      </c>
      <c r="D111" s="8" t="n">
        <v>1</v>
      </c>
      <c r="E111" s="8" t="inlineStr">
        <is>
          <t>First Aid</t>
        </is>
      </c>
      <c r="F111" s="8" t="inlineStr">
        <is>
          <t>Instantly heals all friendly heroes for an amount based on her Attack.</t>
        </is>
      </c>
      <c r="G111" s="8" t="inlineStr">
        <is>
          <t>Heal (x Attack)</t>
        </is>
      </c>
      <c r="H111" s="13" t="inlineStr">
        <is>
          <t>200%</t>
        </is>
      </c>
      <c r="I111" s="13" t="inlineStr">
        <is>
          <t>220%</t>
        </is>
      </c>
      <c r="J111" s="13" t="inlineStr">
        <is>
          <t>240%</t>
        </is>
      </c>
      <c r="K111" s="13" t="inlineStr">
        <is>
          <t>260%</t>
        </is>
      </c>
      <c r="L111" s="13" t="inlineStr">
        <is>
          <t>280%</t>
        </is>
      </c>
    </row>
    <row r="112">
      <c r="A112" s="8" t="inlineStr">
        <is>
          <t>Philly</t>
        </is>
      </c>
      <c r="B112" s="8" t="n">
        <v>2</v>
      </c>
      <c r="C112" s="8" t="inlineStr">
        <is>
          <t>Exploration</t>
        </is>
      </c>
      <c r="D112" s="8" t="n">
        <v>2</v>
      </c>
      <c r="E112" s="8" t="inlineStr">
        <is>
          <t>Restorative Hands</t>
        </is>
      </c>
      <c r="F112" s="8" t="inlineStr">
        <is>
          <t>Heals the weakest friendly hero right away, based on her Attack.</t>
        </is>
      </c>
      <c r="G112" s="8" t="inlineStr">
        <is>
          <t>Heal (x Attack)</t>
        </is>
      </c>
      <c r="H112" s="13" t="inlineStr">
        <is>
          <t>100%</t>
        </is>
      </c>
      <c r="I112" s="13" t="inlineStr">
        <is>
          <t>110%</t>
        </is>
      </c>
      <c r="J112" s="13" t="inlineStr">
        <is>
          <t>120%</t>
        </is>
      </c>
      <c r="K112" s="13" t="inlineStr">
        <is>
          <t>130%</t>
        </is>
      </c>
      <c r="L112" s="13" t="inlineStr">
        <is>
          <t>140%</t>
        </is>
      </c>
    </row>
    <row r="113">
      <c r="A113" s="8" t="inlineStr">
        <is>
          <t>Philly</t>
        </is>
      </c>
      <c r="B113" s="8" t="n">
        <v>2</v>
      </c>
      <c r="C113" s="8" t="inlineStr">
        <is>
          <t>Exploration</t>
        </is>
      </c>
      <c r="D113" s="8" t="n">
        <v>3</v>
      </c>
      <c r="E113" s="8" t="inlineStr">
        <is>
          <t>Paralytic Lotion</t>
        </is>
      </c>
      <c r="F113" s="8" t="inlineStr">
        <is>
          <t>Poisons the target so it cannot act for 1 second, and deals damage.</t>
        </is>
      </c>
      <c r="G113" s="8" t="inlineStr">
        <is>
          <t>Damage (x Attack)</t>
        </is>
      </c>
      <c r="H113" s="13" t="inlineStr">
        <is>
          <t>140%</t>
        </is>
      </c>
      <c r="I113" s="13" t="inlineStr">
        <is>
          <t>154%</t>
        </is>
      </c>
      <c r="J113" s="13" t="inlineStr">
        <is>
          <t>168%</t>
        </is>
      </c>
      <c r="K113" s="13" t="inlineStr">
        <is>
          <t>182%</t>
        </is>
      </c>
      <c r="L113" s="13" t="inlineStr">
        <is>
          <t>196%</t>
        </is>
      </c>
    </row>
    <row r="114">
      <c r="A114" s="8" t="inlineStr">
        <is>
          <t>Philly</t>
        </is>
      </c>
      <c r="B114" s="8" t="n">
        <v>2</v>
      </c>
      <c r="C114" s="8" t="inlineStr">
        <is>
          <t>Expedition</t>
        </is>
      </c>
      <c r="D114" s="8" t="n">
        <v>1</v>
      </c>
      <c r="E114" s="8" t="inlineStr">
        <is>
          <t>Vigor Tactics</t>
        </is>
      </c>
      <c r="F114" s="8" t="inlineStr">
        <is>
          <t>Raises the Attack and Defense of every troop in your squad.</t>
        </is>
      </c>
      <c r="G114" s="8" t="inlineStr">
        <is>
          <t>Attack bonus</t>
        </is>
      </c>
      <c r="H114" s="13" t="inlineStr">
        <is>
          <t>3%</t>
        </is>
      </c>
      <c r="I114" s="13" t="inlineStr">
        <is>
          <t>6%</t>
        </is>
      </c>
      <c r="J114" s="13" t="inlineStr">
        <is>
          <t>9%</t>
        </is>
      </c>
      <c r="K114" s="13" t="inlineStr">
        <is>
          <t>12%</t>
        </is>
      </c>
      <c r="L114" s="13" t="inlineStr">
        <is>
          <t>15%</t>
        </is>
      </c>
    </row>
    <row r="115">
      <c r="A115" s="8" t="inlineStr">
        <is>
          <t>Philly</t>
        </is>
      </c>
      <c r="B115" s="8" t="n">
        <v>2</v>
      </c>
      <c r="C115" s="8" t="inlineStr">
        <is>
          <t>Expedition</t>
        </is>
      </c>
      <c r="D115" s="8" t="n">
        <v>1</v>
      </c>
      <c r="E115" s="8" t="inlineStr">
        <is>
          <t>Vigor Tactics</t>
        </is>
      </c>
      <c r="F115" s="8" t="inlineStr">
        <is>
          <t>Raises the Attack and Defense of every troop in your squad.</t>
        </is>
      </c>
      <c r="G115" s="8" t="inlineStr">
        <is>
          <t>Defense bonus</t>
        </is>
      </c>
      <c r="H115" s="13" t="inlineStr">
        <is>
          <t>2%</t>
        </is>
      </c>
      <c r="I115" s="13" t="inlineStr">
        <is>
          <t>4%</t>
        </is>
      </c>
      <c r="J115" s="13" t="inlineStr">
        <is>
          <t>6%</t>
        </is>
      </c>
      <c r="K115" s="13" t="inlineStr">
        <is>
          <t>8%</t>
        </is>
      </c>
      <c r="L115" s="13" t="inlineStr">
        <is>
          <t>10%</t>
        </is>
      </c>
    </row>
    <row r="116">
      <c r="A116" s="8" t="inlineStr">
        <is>
          <t>Philly</t>
        </is>
      </c>
      <c r="B116" s="8" t="n">
        <v>2</v>
      </c>
      <c r="C116" s="8" t="inlineStr">
        <is>
          <t>Expedition</t>
        </is>
      </c>
      <c r="D116" s="8" t="n">
        <v>2</v>
      </c>
      <c r="E116" s="8" t="inlineStr">
        <is>
          <t>Dosage Boost</t>
        </is>
      </c>
      <c r="F116" s="8" t="inlineStr">
        <is>
          <t>Troop attacks have a 25% chance to deal a large burst of bonus damage.</t>
        </is>
      </c>
      <c r="G116" s="8" t="inlineStr">
        <is>
          <t>Bonus damage on proc</t>
        </is>
      </c>
      <c r="H116" s="13" t="inlineStr">
        <is>
          <t>120%</t>
        </is>
      </c>
      <c r="I116" s="13" t="inlineStr">
        <is>
          <t>140%</t>
        </is>
      </c>
      <c r="J116" s="13" t="inlineStr">
        <is>
          <t>160%</t>
        </is>
      </c>
      <c r="K116" s="13" t="inlineStr">
        <is>
          <t>180%</t>
        </is>
      </c>
      <c r="L116" s="13" t="inlineStr">
        <is>
          <t>200%</t>
        </is>
      </c>
    </row>
    <row r="117">
      <c r="A117" s="8" t="inlineStr">
        <is>
          <t>Philly</t>
        </is>
      </c>
      <c r="B117" s="8" t="n">
        <v>2</v>
      </c>
      <c r="C117" s="8" t="inlineStr">
        <is>
          <t>Expedition</t>
        </is>
      </c>
      <c r="D117" s="8" t="n">
        <v>3</v>
      </c>
      <c r="E117" s="8" t="inlineStr">
        <is>
          <t>Energizing Shot</t>
        </is>
      </c>
      <c r="F117" s="8" t="inlineStr">
        <is>
          <t>40% chance to reduce the damage your whole squad takes.</t>
        </is>
      </c>
      <c r="G117" s="8" t="inlineStr">
        <is>
          <t>Damage taken reduction on proc</t>
        </is>
      </c>
      <c r="H117" s="13" t="inlineStr">
        <is>
          <t>10%</t>
        </is>
      </c>
      <c r="I117" s="13" t="inlineStr">
        <is>
          <t>20%</t>
        </is>
      </c>
      <c r="J117" s="13" t="inlineStr">
        <is>
          <t>30%</t>
        </is>
      </c>
      <c r="K117" s="13" t="inlineStr">
        <is>
          <t>40%</t>
        </is>
      </c>
      <c r="L117" s="13" t="inlineStr">
        <is>
          <t>50%</t>
        </is>
      </c>
    </row>
    <row r="118">
      <c r="A118" s="8" t="inlineStr">
        <is>
          <t>Greg</t>
        </is>
      </c>
      <c r="B118" s="8" t="n">
        <v>3</v>
      </c>
      <c r="C118" s="8" t="inlineStr">
        <is>
          <t>Exploration</t>
        </is>
      </c>
      <c r="D118" s="8" t="n">
        <v>1</v>
      </c>
      <c r="E118" s="8" t="inlineStr">
        <is>
          <t>Righteous Wind</t>
        </is>
      </c>
      <c r="F118" s="8" t="inlineStr">
        <is>
          <t>Drops a cage from the sky that damages enemies in range and stuns them for 2 seconds.</t>
        </is>
      </c>
      <c r="G118" s="8" t="inlineStr">
        <is>
          <t>Area damage (x Attack)</t>
        </is>
      </c>
      <c r="H118" s="13" t="inlineStr">
        <is>
          <t>160%</t>
        </is>
      </c>
      <c r="I118" s="13" t="inlineStr">
        <is>
          <t>176%</t>
        </is>
      </c>
      <c r="J118" s="13" t="inlineStr">
        <is>
          <t>192%</t>
        </is>
      </c>
      <c r="K118" s="13" t="inlineStr">
        <is>
          <t>208%</t>
        </is>
      </c>
      <c r="L118" s="13" t="inlineStr">
        <is>
          <t>224%</t>
        </is>
      </c>
    </row>
    <row r="119">
      <c r="A119" s="8" t="inlineStr">
        <is>
          <t>Greg</t>
        </is>
      </c>
      <c r="B119" s="8" t="n">
        <v>3</v>
      </c>
      <c r="C119" s="8" t="inlineStr">
        <is>
          <t>Exploration</t>
        </is>
      </c>
      <c r="D119" s="8" t="n">
        <v>2</v>
      </c>
      <c r="E119" s="8" t="inlineStr">
        <is>
          <t>Poetic Justice</t>
        </is>
      </c>
      <c r="F119" s="8" t="inlineStr">
        <is>
          <t>Puts a target on trial. Punishment deals big damage, while a commendation heals them for half his Attack.</t>
        </is>
      </c>
      <c r="G119" s="8" t="inlineStr">
        <is>
          <t>Punishment damage (x Attack)</t>
        </is>
      </c>
      <c r="H119" s="13" t="inlineStr">
        <is>
          <t>220%</t>
        </is>
      </c>
      <c r="I119" s="13" t="inlineStr">
        <is>
          <t>240%</t>
        </is>
      </c>
      <c r="J119" s="13" t="inlineStr">
        <is>
          <t>260%</t>
        </is>
      </c>
      <c r="K119" s="13" t="inlineStr">
        <is>
          <t>280%</t>
        </is>
      </c>
      <c r="L119" s="13" t="inlineStr">
        <is>
          <t>300%</t>
        </is>
      </c>
    </row>
    <row r="120">
      <c r="A120" s="8" t="inlineStr">
        <is>
          <t>Greg</t>
        </is>
      </c>
      <c r="B120" s="8" t="n">
        <v>3</v>
      </c>
      <c r="C120" s="8" t="inlineStr">
        <is>
          <t>Exploration</t>
        </is>
      </c>
      <c r="D120" s="8" t="n">
        <v>3</v>
      </c>
      <c r="E120" s="8" t="inlineStr">
        <is>
          <t>Fair Judgment</t>
        </is>
      </c>
      <c r="F120" s="8" t="inlineStr">
        <is>
          <t>Marks enemies so they take extra damage for 3 seconds.</t>
        </is>
      </c>
      <c r="G120" s="8" t="inlineStr">
        <is>
          <t>Extra damage taken by enemies</t>
        </is>
      </c>
      <c r="H120" s="13" t="inlineStr">
        <is>
          <t>10%</t>
        </is>
      </c>
      <c r="I120" s="13" t="inlineStr">
        <is>
          <t>15%</t>
        </is>
      </c>
      <c r="J120" s="13" t="inlineStr">
        <is>
          <t>20%</t>
        </is>
      </c>
      <c r="K120" s="13" t="inlineStr">
        <is>
          <t>25%</t>
        </is>
      </c>
      <c r="L120" s="13" t="inlineStr">
        <is>
          <t>30%</t>
        </is>
      </c>
    </row>
    <row r="121">
      <c r="A121" s="8" t="inlineStr">
        <is>
          <t>Greg</t>
        </is>
      </c>
      <c r="B121" s="8" t="n">
        <v>3</v>
      </c>
      <c r="C121" s="8" t="inlineStr">
        <is>
          <t>Expedition</t>
        </is>
      </c>
      <c r="D121" s="8" t="n">
        <v>1</v>
      </c>
      <c r="E121" s="8" t="inlineStr">
        <is>
          <t>Sword of Justice</t>
        </is>
      </c>
      <c r="F121" s="8" t="inlineStr">
        <is>
          <t>20% chance for your squad to deal more damage for 3 turns.</t>
        </is>
      </c>
      <c r="G121" s="8" t="inlineStr">
        <is>
          <t>Damage dealt bonus on proc</t>
        </is>
      </c>
      <c r="H121" s="13" t="inlineStr">
        <is>
          <t>8%</t>
        </is>
      </c>
      <c r="I121" s="13" t="inlineStr">
        <is>
          <t>16%</t>
        </is>
      </c>
      <c r="J121" s="13" t="inlineStr">
        <is>
          <t>24%</t>
        </is>
      </c>
      <c r="K121" s="13" t="inlineStr">
        <is>
          <t>32%</t>
        </is>
      </c>
      <c r="L121" s="13" t="inlineStr">
        <is>
          <t>40%</t>
        </is>
      </c>
    </row>
    <row r="122">
      <c r="A122" s="8" t="inlineStr">
        <is>
          <t>Greg</t>
        </is>
      </c>
      <c r="B122" s="8" t="n">
        <v>3</v>
      </c>
      <c r="C122" s="8" t="inlineStr">
        <is>
          <t>Expedition</t>
        </is>
      </c>
      <c r="D122" s="8" t="n">
        <v>2</v>
      </c>
      <c r="E122" s="8" t="inlineStr">
        <is>
          <t>Deterrence of Law</t>
        </is>
      </c>
      <c r="F122" s="8" t="inlineStr">
        <is>
          <t>Troop attacks have a 20% chance to reduce enemy damage for 2 turns.</t>
        </is>
      </c>
      <c r="G122" s="8" t="inlineStr">
        <is>
          <t>Enemy damage reduction on proc</t>
        </is>
      </c>
      <c r="H122" s="13" t="inlineStr">
        <is>
          <t>10%</t>
        </is>
      </c>
      <c r="I122" s="13" t="inlineStr">
        <is>
          <t>20%</t>
        </is>
      </c>
      <c r="J122" s="13" t="inlineStr">
        <is>
          <t>30%</t>
        </is>
      </c>
      <c r="K122" s="13" t="inlineStr">
        <is>
          <t>40%</t>
        </is>
      </c>
      <c r="L122" s="13" t="inlineStr">
        <is>
          <t>50%</t>
        </is>
      </c>
    </row>
    <row r="123">
      <c r="A123" s="8" t="inlineStr">
        <is>
          <t>Greg</t>
        </is>
      </c>
      <c r="B123" s="8" t="n">
        <v>3</v>
      </c>
      <c r="C123" s="8" t="inlineStr">
        <is>
          <t>Expedition</t>
        </is>
      </c>
      <c r="D123" s="8" t="n">
        <v>3</v>
      </c>
      <c r="E123" s="8" t="inlineStr">
        <is>
          <t>Law and Order</t>
        </is>
      </c>
      <c r="F123" s="8" t="inlineStr">
        <is>
          <t>Raises the Health of every troop in your squad.</t>
        </is>
      </c>
      <c r="G123" s="8" t="inlineStr">
        <is>
          <t>Health bonus</t>
        </is>
      </c>
      <c r="H123" s="13" t="inlineStr">
        <is>
          <t>5%</t>
        </is>
      </c>
      <c r="I123" s="13" t="inlineStr">
        <is>
          <t>10%</t>
        </is>
      </c>
      <c r="J123" s="13" t="inlineStr">
        <is>
          <t>15%</t>
        </is>
      </c>
      <c r="K123" s="13" t="inlineStr">
        <is>
          <t>20%</t>
        </is>
      </c>
      <c r="L123" s="13" t="inlineStr">
        <is>
          <t>25%</t>
        </is>
      </c>
    </row>
    <row r="124">
      <c r="A124" s="8" t="inlineStr">
        <is>
          <t>Logan</t>
        </is>
      </c>
      <c r="B124" s="8" t="n">
        <v>3</v>
      </c>
      <c r="C124" s="8" t="inlineStr">
        <is>
          <t>Exploration</t>
        </is>
      </c>
      <c r="D124" s="8" t="n">
        <v>1</v>
      </c>
      <c r="E124" s="8" t="inlineStr">
        <is>
          <t>Fists of Destruction</t>
        </is>
      </c>
      <c r="F124" s="8" t="inlineStr">
        <is>
          <t>A heavy ground smash that hits the target and halves its Attack Speed for 4 seconds.</t>
        </is>
      </c>
      <c r="G124" s="8" t="inlineStr">
        <is>
          <t>Damage (x Attack)</t>
        </is>
      </c>
      <c r="H124" s="13" t="inlineStr">
        <is>
          <t>120%</t>
        </is>
      </c>
      <c r="I124" s="13" t="inlineStr">
        <is>
          <t>132%</t>
        </is>
      </c>
      <c r="J124" s="13" t="inlineStr">
        <is>
          <t>144%</t>
        </is>
      </c>
      <c r="K124" s="13" t="inlineStr">
        <is>
          <t>156%</t>
        </is>
      </c>
      <c r="L124" s="13" t="inlineStr">
        <is>
          <t>168%</t>
        </is>
      </c>
    </row>
    <row r="125">
      <c r="A125" s="8" t="inlineStr">
        <is>
          <t>Logan</t>
        </is>
      </c>
      <c r="B125" s="8" t="n">
        <v>3</v>
      </c>
      <c r="C125" s="8" t="inlineStr">
        <is>
          <t>Exploration</t>
        </is>
      </c>
      <c r="D125" s="8" t="n">
        <v>2</v>
      </c>
      <c r="E125" s="8" t="inlineStr">
        <is>
          <t>Power Suit</t>
        </is>
      </c>
      <c r="F125" s="8" t="inlineStr">
        <is>
          <t>When attacked he has a chance to raise his Defense for 2 seconds. It stacks up to 5 times.</t>
        </is>
      </c>
      <c r="G125" s="8" t="inlineStr">
        <is>
          <t>Proc chance</t>
        </is>
      </c>
      <c r="H125" s="13" t="inlineStr">
        <is>
          <t>8%</t>
        </is>
      </c>
      <c r="I125" s="13" t="inlineStr">
        <is>
          <t>10%</t>
        </is>
      </c>
      <c r="J125" s="13" t="inlineStr">
        <is>
          <t>12%</t>
        </is>
      </c>
      <c r="K125" s="13" t="inlineStr">
        <is>
          <t>14%</t>
        </is>
      </c>
      <c r="L125" s="13" t="inlineStr">
        <is>
          <t>16%</t>
        </is>
      </c>
    </row>
    <row r="126">
      <c r="A126" s="8" t="inlineStr">
        <is>
          <t>Logan</t>
        </is>
      </c>
      <c r="B126" s="8" t="n">
        <v>3</v>
      </c>
      <c r="C126" s="8" t="inlineStr">
        <is>
          <t>Exploration</t>
        </is>
      </c>
      <c r="D126" s="8" t="n">
        <v>2</v>
      </c>
      <c r="E126" s="8" t="inlineStr">
        <is>
          <t>Power Suit</t>
        </is>
      </c>
      <c r="F126" s="8" t="inlineStr">
        <is>
          <t>When attacked he has a chance to raise his Defense for 2 seconds. It stacks up to 5 times.</t>
        </is>
      </c>
      <c r="G126" s="8" t="inlineStr">
        <is>
          <t>Defense bonus per stack</t>
        </is>
      </c>
      <c r="H126" s="13" t="inlineStr">
        <is>
          <t>8%</t>
        </is>
      </c>
      <c r="I126" s="13" t="inlineStr">
        <is>
          <t>11%</t>
        </is>
      </c>
      <c r="J126" s="13" t="inlineStr">
        <is>
          <t>13%</t>
        </is>
      </c>
      <c r="K126" s="13" t="inlineStr">
        <is>
          <t>17%</t>
        </is>
      </c>
      <c r="L126" s="13" t="inlineStr">
        <is>
          <t>20%</t>
        </is>
      </c>
    </row>
    <row r="127">
      <c r="A127" s="8" t="inlineStr">
        <is>
          <t>Logan</t>
        </is>
      </c>
      <c r="B127" s="8" t="n">
        <v>3</v>
      </c>
      <c r="C127" s="8" t="inlineStr">
        <is>
          <t>Exploration</t>
        </is>
      </c>
      <c r="D127" s="8" t="n">
        <v>3</v>
      </c>
      <c r="E127" s="8" t="inlineStr">
        <is>
          <t>Blustery Strike</t>
        </is>
      </c>
      <c r="F127" s="8" t="inlineStr">
        <is>
          <t>A freezing punch in a cone with a 30% chance to stun each target for 1 second.</t>
        </is>
      </c>
      <c r="G127" s="8" t="inlineStr">
        <is>
          <t>Cone damage (x Attack)</t>
        </is>
      </c>
      <c r="H127" s="13" t="inlineStr">
        <is>
          <t>80%</t>
        </is>
      </c>
      <c r="I127" s="13" t="inlineStr">
        <is>
          <t>88%</t>
        </is>
      </c>
      <c r="J127" s="13" t="inlineStr">
        <is>
          <t>96%</t>
        </is>
      </c>
      <c r="K127" s="13" t="inlineStr">
        <is>
          <t>104%</t>
        </is>
      </c>
      <c r="L127" s="13" t="inlineStr">
        <is>
          <t>112%</t>
        </is>
      </c>
    </row>
    <row r="128">
      <c r="A128" s="8" t="inlineStr">
        <is>
          <t>Logan</t>
        </is>
      </c>
      <c r="B128" s="8" t="n">
        <v>3</v>
      </c>
      <c r="C128" s="8" t="inlineStr">
        <is>
          <t>Expedition</t>
        </is>
      </c>
      <c r="D128" s="8" t="n">
        <v>1</v>
      </c>
      <c r="E128" s="8" t="inlineStr">
        <is>
          <t>Lion's Might</t>
        </is>
      </c>
      <c r="F128" s="8" t="inlineStr">
        <is>
          <t>Weakens every enemy troop by lowering their Attack.</t>
        </is>
      </c>
      <c r="G128" s="8" t="inlineStr">
        <is>
          <t>Enemy Attack reduction</t>
        </is>
      </c>
      <c r="H128" s="13" t="inlineStr">
        <is>
          <t>4%</t>
        </is>
      </c>
      <c r="I128" s="13" t="inlineStr">
        <is>
          <t>8%</t>
        </is>
      </c>
      <c r="J128" s="13" t="inlineStr">
        <is>
          <t>12%</t>
        </is>
      </c>
      <c r="K128" s="13" t="inlineStr">
        <is>
          <t>16%</t>
        </is>
      </c>
      <c r="L128" s="13" t="inlineStr">
        <is>
          <t>20%</t>
        </is>
      </c>
    </row>
    <row r="129">
      <c r="A129" s="8" t="inlineStr">
        <is>
          <t>Logan</t>
        </is>
      </c>
      <c r="B129" s="8" t="n">
        <v>3</v>
      </c>
      <c r="C129" s="8" t="inlineStr">
        <is>
          <t>Expedition</t>
        </is>
      </c>
      <c r="D129" s="8" t="n">
        <v>2</v>
      </c>
      <c r="E129" s="8" t="inlineStr">
        <is>
          <t>Lion Intimidation</t>
        </is>
      </c>
      <c r="F129" s="8" t="inlineStr">
        <is>
          <t>Cuts the damage your whole squad takes.</t>
        </is>
      </c>
      <c r="G129" s="8" t="inlineStr">
        <is>
          <t>Damage taken reduction</t>
        </is>
      </c>
      <c r="H129" s="13" t="inlineStr">
        <is>
          <t>4%</t>
        </is>
      </c>
      <c r="I129" s="13" t="inlineStr">
        <is>
          <t>8%</t>
        </is>
      </c>
      <c r="J129" s="13" t="inlineStr">
        <is>
          <t>12%</t>
        </is>
      </c>
      <c r="K129" s="13" t="inlineStr">
        <is>
          <t>16%</t>
        </is>
      </c>
      <c r="L129" s="13" t="inlineStr">
        <is>
          <t>20%</t>
        </is>
      </c>
    </row>
    <row r="130">
      <c r="A130" s="8" t="inlineStr">
        <is>
          <t>Logan</t>
        </is>
      </c>
      <c r="B130" s="8" t="n">
        <v>3</v>
      </c>
      <c r="C130" s="8" t="inlineStr">
        <is>
          <t>Expedition</t>
        </is>
      </c>
      <c r="D130" s="8" t="n">
        <v>3</v>
      </c>
      <c r="E130" s="8" t="inlineStr">
        <is>
          <t>Leader Inspiration</t>
        </is>
      </c>
      <c r="F130" s="8" t="inlineStr">
        <is>
          <t>Raises the Health of every troop in your squad.</t>
        </is>
      </c>
      <c r="G130" s="8" t="inlineStr">
        <is>
          <t>Health bonus</t>
        </is>
      </c>
      <c r="H130" s="13" t="inlineStr">
        <is>
          <t>5%</t>
        </is>
      </c>
      <c r="I130" s="13" t="inlineStr">
        <is>
          <t>10%</t>
        </is>
      </c>
      <c r="J130" s="13" t="inlineStr">
        <is>
          <t>15%</t>
        </is>
      </c>
      <c r="K130" s="13" t="inlineStr">
        <is>
          <t>20%</t>
        </is>
      </c>
      <c r="L130" s="13" t="inlineStr">
        <is>
          <t>25%</t>
        </is>
      </c>
    </row>
    <row r="131">
      <c r="A131" s="8" t="inlineStr">
        <is>
          <t>Mia</t>
        </is>
      </c>
      <c r="B131" s="8" t="n">
        <v>3</v>
      </c>
      <c r="C131" s="8" t="inlineStr">
        <is>
          <t>Exploration</t>
        </is>
      </c>
      <c r="D131" s="8" t="n">
        <v>1</v>
      </c>
      <c r="E131" s="8" t="inlineStr">
        <is>
          <t>Fate’s Finale</t>
        </is>
      </c>
      <c r="F131" s="8" t="inlineStr">
        <is>
          <t>Throws a tarot card for heavy damage and either cuts the target's Attack by 20% for 2 seconds or stuns it for 1.5 seconds.</t>
        </is>
      </c>
      <c r="G131" s="8" t="inlineStr">
        <is>
          <t>Damage (x Attack)</t>
        </is>
      </c>
      <c r="H131" s="13" t="inlineStr">
        <is>
          <t>270%</t>
        </is>
      </c>
      <c r="I131" s="13" t="inlineStr">
        <is>
          <t>297%</t>
        </is>
      </c>
      <c r="J131" s="13" t="inlineStr">
        <is>
          <t>324%</t>
        </is>
      </c>
      <c r="K131" s="13" t="inlineStr">
        <is>
          <t>351%</t>
        </is>
      </c>
      <c r="L131" s="13" t="inlineStr">
        <is>
          <t>378%</t>
        </is>
      </c>
    </row>
    <row r="132">
      <c r="A132" s="8" t="inlineStr">
        <is>
          <t>Mia</t>
        </is>
      </c>
      <c r="B132" s="8" t="n">
        <v>3</v>
      </c>
      <c r="C132" s="8" t="inlineStr">
        <is>
          <t>Exploration</t>
        </is>
      </c>
      <c r="D132" s="8" t="n">
        <v>2</v>
      </c>
      <c r="E132" s="8" t="inlineStr">
        <is>
          <t>Bad Omen</t>
        </is>
      </c>
      <c r="F132" s="8" t="inlineStr">
        <is>
          <t>A curse that deals random damage, anywhere from 5% to 600% of a base amount. The base value grows with level.</t>
        </is>
      </c>
      <c r="G132" s="8" t="inlineStr">
        <is>
          <t>Base value (x Attack)</t>
        </is>
      </c>
      <c r="H132" s="13" t="inlineStr">
        <is>
          <t>50%</t>
        </is>
      </c>
      <c r="I132" s="13" t="inlineStr">
        <is>
          <t>55%</t>
        </is>
      </c>
      <c r="J132" s="13" t="inlineStr">
        <is>
          <t>60%</t>
        </is>
      </c>
      <c r="K132" s="13" t="inlineStr">
        <is>
          <t>65%</t>
        </is>
      </c>
      <c r="L132" s="13" t="inlineStr">
        <is>
          <t>70%</t>
        </is>
      </c>
    </row>
    <row r="133">
      <c r="A133" s="8" t="inlineStr">
        <is>
          <t>Mia</t>
        </is>
      </c>
      <c r="B133" s="8" t="n">
        <v>3</v>
      </c>
      <c r="C133" s="8" t="inlineStr">
        <is>
          <t>Exploration</t>
        </is>
      </c>
      <c r="D133" s="8" t="n">
        <v>3</v>
      </c>
      <c r="E133" s="8" t="inlineStr">
        <is>
          <t>Guardian of Destiny</t>
        </is>
      </c>
      <c r="F133" s="8" t="inlineStr">
        <is>
          <t>Protects the lowest-Health hero with a random heal, anywhere from 5% to 400% of a base amount.</t>
        </is>
      </c>
      <c r="G133" s="8" t="inlineStr">
        <is>
          <t>Base value (x Attack)</t>
        </is>
      </c>
      <c r="H133" s="13" t="inlineStr">
        <is>
          <t>100%</t>
        </is>
      </c>
      <c r="I133" s="13" t="inlineStr">
        <is>
          <t>110%</t>
        </is>
      </c>
      <c r="J133" s="13" t="inlineStr">
        <is>
          <t>120%</t>
        </is>
      </c>
      <c r="K133" s="13" t="inlineStr">
        <is>
          <t>130%</t>
        </is>
      </c>
      <c r="L133" s="13" t="inlineStr">
        <is>
          <t>140%</t>
        </is>
      </c>
    </row>
    <row r="134">
      <c r="A134" s="8" t="inlineStr">
        <is>
          <t>Mia</t>
        </is>
      </c>
      <c r="B134" s="8" t="n">
        <v>3</v>
      </c>
      <c r="C134" s="8" t="inlineStr">
        <is>
          <t>Expedition</t>
        </is>
      </c>
      <c r="D134" s="8" t="n">
        <v>1</v>
      </c>
      <c r="E134" s="8" t="inlineStr">
        <is>
          <t>Bad Luck Streak</t>
        </is>
      </c>
      <c r="F134" s="8" t="inlineStr">
        <is>
          <t>Troop attacks have a 50% chance to curse the target so it takes more damage.</t>
        </is>
      </c>
      <c r="G134" s="8" t="inlineStr">
        <is>
          <t>Extra damage taken on proc</t>
        </is>
      </c>
      <c r="H134" s="13" t="inlineStr">
        <is>
          <t>10%</t>
        </is>
      </c>
      <c r="I134" s="13" t="inlineStr">
        <is>
          <t>20%</t>
        </is>
      </c>
      <c r="J134" s="13" t="inlineStr">
        <is>
          <t>30%</t>
        </is>
      </c>
      <c r="K134" s="13" t="inlineStr">
        <is>
          <t>40%</t>
        </is>
      </c>
      <c r="L134" s="13" t="inlineStr">
        <is>
          <t>50%</t>
        </is>
      </c>
    </row>
    <row r="135">
      <c r="A135" s="8" t="inlineStr">
        <is>
          <t>Mia</t>
        </is>
      </c>
      <c r="B135" s="8" t="n">
        <v>3</v>
      </c>
      <c r="C135" s="8" t="inlineStr">
        <is>
          <t>Expedition</t>
        </is>
      </c>
      <c r="D135" s="8" t="n">
        <v>2</v>
      </c>
      <c r="E135" s="8" t="inlineStr">
        <is>
          <t>Lucky Charm</t>
        </is>
      </c>
      <c r="F135" s="8" t="inlineStr">
        <is>
          <t>Troop attacks have a 50% chance to deal extra damage.</t>
        </is>
      </c>
      <c r="G135" s="8" t="inlineStr">
        <is>
          <t>Extra damage on proc</t>
        </is>
      </c>
      <c r="H135" s="13" t="inlineStr">
        <is>
          <t>10%</t>
        </is>
      </c>
      <c r="I135" s="13" t="inlineStr">
        <is>
          <t>20%</t>
        </is>
      </c>
      <c r="J135" s="13" t="inlineStr">
        <is>
          <t>30%</t>
        </is>
      </c>
      <c r="K135" s="13" t="inlineStr">
        <is>
          <t>40%</t>
        </is>
      </c>
      <c r="L135" s="13" t="inlineStr">
        <is>
          <t>50%</t>
        </is>
      </c>
    </row>
    <row r="136">
      <c r="A136" s="8" t="inlineStr">
        <is>
          <t>Mia</t>
        </is>
      </c>
      <c r="B136" s="8" t="n">
        <v>3</v>
      </c>
      <c r="C136" s="8" t="inlineStr">
        <is>
          <t>Expedition</t>
        </is>
      </c>
      <c r="D136" s="8" t="n">
        <v>3</v>
      </c>
      <c r="E136" s="8" t="inlineStr">
        <is>
          <t>Ritual Deciphering</t>
        </is>
      </c>
      <c r="F136" s="8" t="inlineStr">
        <is>
          <t>40% chance to reduce the damage your whole squad takes.</t>
        </is>
      </c>
      <c r="G136" s="8" t="inlineStr">
        <is>
          <t>Damage taken reduction on proc</t>
        </is>
      </c>
      <c r="H136" s="13" t="inlineStr">
        <is>
          <t>10%</t>
        </is>
      </c>
      <c r="I136" s="13" t="inlineStr">
        <is>
          <t>20%</t>
        </is>
      </c>
      <c r="J136" s="13" t="inlineStr">
        <is>
          <t>30%</t>
        </is>
      </c>
      <c r="K136" s="13" t="inlineStr">
        <is>
          <t>40%</t>
        </is>
      </c>
      <c r="L136" s="13" t="inlineStr">
        <is>
          <t>50%</t>
        </is>
      </c>
    </row>
    <row r="137">
      <c r="A137" s="8" t="inlineStr">
        <is>
          <t>Ahmose</t>
        </is>
      </c>
      <c r="B137" s="8" t="n">
        <v>4</v>
      </c>
      <c r="C137" s="8" t="inlineStr">
        <is>
          <t>Exploration</t>
        </is>
      </c>
      <c r="D137" s="8" t="n">
        <v>1</v>
      </c>
      <c r="E137" s="8" t="inlineStr">
        <is>
          <t>Cthugha's Protection</t>
        </is>
      </c>
      <c r="F137" s="8" t="inlineStr">
        <is>
          <t>Raises his shield and becomes invulnerable for 2 seconds. He cannot move or cast during that time, and nearby friendly troops take much less damage.</t>
        </is>
      </c>
      <c r="G137" s="8" t="inlineStr">
        <is>
          <t>Damage taken reduction</t>
        </is>
      </c>
      <c r="H137" s="13" t="inlineStr">
        <is>
          <t>30%</t>
        </is>
      </c>
      <c r="I137" s="13" t="inlineStr">
        <is>
          <t>40%</t>
        </is>
      </c>
      <c r="J137" s="13" t="inlineStr">
        <is>
          <t>50%</t>
        </is>
      </c>
      <c r="K137" s="13" t="inlineStr">
        <is>
          <t>60%</t>
        </is>
      </c>
      <c r="L137" s="13" t="inlineStr">
        <is>
          <t>70%</t>
        </is>
      </c>
    </row>
    <row r="138">
      <c r="A138" s="8" t="inlineStr">
        <is>
          <t>Ahmose</t>
        </is>
      </c>
      <c r="B138" s="8" t="n">
        <v>4</v>
      </c>
      <c r="C138" s="8" t="inlineStr">
        <is>
          <t>Exploration</t>
        </is>
      </c>
      <c r="D138" s="8" t="n">
        <v>2</v>
      </c>
      <c r="E138" s="8" t="inlineStr">
        <is>
          <t>Daybreak Knife</t>
        </is>
      </c>
      <c r="F138" s="8" t="inlineStr">
        <is>
          <t>A spear thrust at the front line that deals damage and makes enemies take 20% more damage for 2 seconds.</t>
        </is>
      </c>
      <c r="G138" s="8" t="inlineStr">
        <is>
          <t>Damage (x Attack)</t>
        </is>
      </c>
      <c r="H138" s="13" t="inlineStr">
        <is>
          <t>70%</t>
        </is>
      </c>
      <c r="I138" s="13" t="inlineStr">
        <is>
          <t>77%</t>
        </is>
      </c>
      <c r="J138" s="13" t="inlineStr">
        <is>
          <t>84%</t>
        </is>
      </c>
      <c r="K138" s="13" t="inlineStr">
        <is>
          <t>91%</t>
        </is>
      </c>
      <c r="L138" s="13" t="inlineStr">
        <is>
          <t>98%</t>
        </is>
      </c>
    </row>
    <row r="139">
      <c r="A139" s="8" t="inlineStr">
        <is>
          <t>Ahmose</t>
        </is>
      </c>
      <c r="B139" s="8" t="n">
        <v>4</v>
      </c>
      <c r="C139" s="8" t="inlineStr">
        <is>
          <t>Exploration</t>
        </is>
      </c>
      <c r="D139" s="8" t="n">
        <v>3</v>
      </c>
      <c r="E139" s="8" t="inlineStr">
        <is>
          <t>Ancestral Blessing</t>
        </is>
      </c>
      <c r="F139" s="8" t="inlineStr">
        <is>
          <t>After his shield skill, he heals himself over 5 seconds.</t>
        </is>
      </c>
      <c r="G139" s="8" t="inlineStr">
        <is>
          <t>Heal (x Attack)</t>
        </is>
      </c>
      <c r="H139" s="13" t="inlineStr">
        <is>
          <t>30%</t>
        </is>
      </c>
      <c r="I139" s="13" t="inlineStr">
        <is>
          <t>33%</t>
        </is>
      </c>
      <c r="J139" s="13" t="inlineStr">
        <is>
          <t>36%</t>
        </is>
      </c>
      <c r="K139" s="13" t="inlineStr">
        <is>
          <t>39%</t>
        </is>
      </c>
      <c r="L139" s="13" t="inlineStr">
        <is>
          <t>42%</t>
        </is>
      </c>
    </row>
    <row r="140">
      <c r="A140" s="8" t="inlineStr">
        <is>
          <t>Ahmose</t>
        </is>
      </c>
      <c r="B140" s="8" t="n">
        <v>4</v>
      </c>
      <c r="C140" s="8" t="inlineStr">
        <is>
          <t>Expedition</t>
        </is>
      </c>
      <c r="D140" s="8" t="n">
        <v>1</v>
      </c>
      <c r="E140" s="8" t="inlineStr">
        <is>
          <t>Viper Formation</t>
        </is>
      </c>
      <c r="F140" s="8" t="inlineStr">
        <is>
          <t>Every fourth Infantry attack is a pause that cuts damage taken. Infantry get a much bigger reduction than Lancers and Marksmen. Lasts 2 turns.</t>
        </is>
      </c>
      <c r="G140" s="8" t="inlineStr">
        <is>
          <t>Lancer and Marksman damage taken reduction</t>
        </is>
      </c>
      <c r="H140" s="13" t="inlineStr">
        <is>
          <t>10%</t>
        </is>
      </c>
      <c r="I140" s="13" t="inlineStr">
        <is>
          <t>15%</t>
        </is>
      </c>
      <c r="J140" s="13" t="inlineStr">
        <is>
          <t>20%</t>
        </is>
      </c>
      <c r="K140" s="13" t="inlineStr">
        <is>
          <t>25%</t>
        </is>
      </c>
      <c r="L140" s="13" t="inlineStr">
        <is>
          <t>30%</t>
        </is>
      </c>
    </row>
    <row r="141">
      <c r="A141" s="8" t="inlineStr">
        <is>
          <t>Ahmose</t>
        </is>
      </c>
      <c r="B141" s="8" t="n">
        <v>4</v>
      </c>
      <c r="C141" s="8" t="inlineStr">
        <is>
          <t>Expedition</t>
        </is>
      </c>
      <c r="D141" s="8" t="n">
        <v>1</v>
      </c>
      <c r="E141" s="8" t="inlineStr">
        <is>
          <t>Viper Formation</t>
        </is>
      </c>
      <c r="F141" s="8" t="inlineStr">
        <is>
          <t>Every fourth Infantry attack is a pause that cuts damage taken. Infantry get a much bigger reduction than Lancers and Marksmen. Lasts 2 turns.</t>
        </is>
      </c>
      <c r="G141" s="8" t="inlineStr">
        <is>
          <t>Infantry damage taken reduction</t>
        </is>
      </c>
      <c r="H141" s="13" t="inlineStr">
        <is>
          <t>10%</t>
        </is>
      </c>
      <c r="I141" s="13" t="inlineStr">
        <is>
          <t>25%</t>
        </is>
      </c>
      <c r="J141" s="13" t="inlineStr">
        <is>
          <t>40%</t>
        </is>
      </c>
      <c r="K141" s="13" t="inlineStr">
        <is>
          <t>55%</t>
        </is>
      </c>
      <c r="L141" s="13" t="inlineStr">
        <is>
          <t>70%</t>
        </is>
      </c>
    </row>
    <row r="142">
      <c r="A142" s="8" t="inlineStr">
        <is>
          <t>Ahmose</t>
        </is>
      </c>
      <c r="B142" s="8" t="n">
        <v>4</v>
      </c>
      <c r="C142" s="8" t="inlineStr">
        <is>
          <t>Expedition</t>
        </is>
      </c>
      <c r="D142" s="8" t="n">
        <v>2</v>
      </c>
      <c r="E142" s="8" t="inlineStr">
        <is>
          <t>Prayer of Flame</t>
        </is>
      </c>
      <c r="F142" s="8" t="inlineStr">
        <is>
          <t>Boosts the damage your Infantry deal.</t>
        </is>
      </c>
      <c r="G142" s="8" t="inlineStr">
        <is>
          <t>Infantry damage bonus</t>
        </is>
      </c>
      <c r="H142" s="13" t="inlineStr">
        <is>
          <t>20%</t>
        </is>
      </c>
      <c r="I142" s="13" t="inlineStr">
        <is>
          <t>40%</t>
        </is>
      </c>
      <c r="J142" s="13" t="inlineStr">
        <is>
          <t>60%</t>
        </is>
      </c>
      <c r="K142" s="13" t="inlineStr">
        <is>
          <t>80%</t>
        </is>
      </c>
      <c r="L142" s="13" t="inlineStr">
        <is>
          <t>100%</t>
        </is>
      </c>
    </row>
    <row r="143">
      <c r="A143" s="8" t="inlineStr">
        <is>
          <t>Ahmose</t>
        </is>
      </c>
      <c r="B143" s="8" t="n">
        <v>4</v>
      </c>
      <c r="C143" s="8" t="inlineStr">
        <is>
          <t>Expedition</t>
        </is>
      </c>
      <c r="D143" s="8" t="n">
        <v>3</v>
      </c>
      <c r="E143" s="8" t="inlineStr">
        <is>
          <t>Blade of Light</t>
        </is>
      </c>
      <c r="F143" s="8" t="inlineStr">
        <is>
          <t>Infantry deal extra damage per attack and their targets take more damage for 1 turn.</t>
        </is>
      </c>
      <c r="G143" s="8" t="inlineStr">
        <is>
          <t>Infantry damage bonus</t>
        </is>
      </c>
      <c r="H143" s="13" t="inlineStr">
        <is>
          <t>12%</t>
        </is>
      </c>
      <c r="I143" s="13" t="inlineStr">
        <is>
          <t>24%</t>
        </is>
      </c>
      <c r="J143" s="13" t="inlineStr">
        <is>
          <t>36%</t>
        </is>
      </c>
      <c r="K143" s="13" t="inlineStr">
        <is>
          <t>48%</t>
        </is>
      </c>
      <c r="L143" s="13" t="inlineStr">
        <is>
          <t>60%</t>
        </is>
      </c>
    </row>
    <row r="144">
      <c r="A144" s="8" t="inlineStr">
        <is>
          <t>Ahmose</t>
        </is>
      </c>
      <c r="B144" s="8" t="n">
        <v>4</v>
      </c>
      <c r="C144" s="8" t="inlineStr">
        <is>
          <t>Expedition</t>
        </is>
      </c>
      <c r="D144" s="8" t="n">
        <v>3</v>
      </c>
      <c r="E144" s="8" t="inlineStr">
        <is>
          <t>Blade of Light</t>
        </is>
      </c>
      <c r="F144" s="8" t="inlineStr">
        <is>
          <t>Infantry deal extra damage per attack and their targets take more damage for 1 turn.</t>
        </is>
      </c>
      <c r="G144" s="8" t="inlineStr">
        <is>
          <t>Extra damage taken by target</t>
        </is>
      </c>
      <c r="H144" s="13" t="inlineStr">
        <is>
          <t>5%</t>
        </is>
      </c>
      <c r="I144" s="13" t="inlineStr">
        <is>
          <t>10%</t>
        </is>
      </c>
      <c r="J144" s="13" t="inlineStr">
        <is>
          <t>15%</t>
        </is>
      </c>
      <c r="K144" s="13" t="inlineStr">
        <is>
          <t>20%</t>
        </is>
      </c>
      <c r="L144" s="13" t="inlineStr">
        <is>
          <t>25%</t>
        </is>
      </c>
    </row>
    <row r="145">
      <c r="A145" s="8" t="inlineStr">
        <is>
          <t>Lynn</t>
        </is>
      </c>
      <c r="B145" s="8" t="n">
        <v>4</v>
      </c>
      <c r="C145" s="8" t="inlineStr">
        <is>
          <t>Exploration</t>
        </is>
      </c>
      <c r="D145" s="8" t="n">
        <v>1</v>
      </c>
      <c r="E145" s="8" t="inlineStr">
        <is>
          <t>Hymn of Sidrak</t>
        </is>
      </c>
      <c r="F145" s="8" t="inlineStr">
        <is>
          <t>A battle hymn that cleans debuffs off all your troops, gives them an Attack boost, and keeps them immune to debuffs while it lasts.</t>
        </is>
      </c>
      <c r="G145" s="8" t="inlineStr">
        <is>
          <t>Attack bonus</t>
        </is>
      </c>
      <c r="H145" s="13" t="inlineStr">
        <is>
          <t>3%</t>
        </is>
      </c>
      <c r="I145" s="13" t="inlineStr">
        <is>
          <t>4%</t>
        </is>
      </c>
      <c r="J145" s="13" t="inlineStr">
        <is>
          <t>5%</t>
        </is>
      </c>
      <c r="K145" s="13" t="inlineStr">
        <is>
          <t>6%</t>
        </is>
      </c>
      <c r="L145" s="13" t="inlineStr">
        <is>
          <t>7%</t>
        </is>
      </c>
    </row>
    <row r="146">
      <c r="A146" s="8" t="inlineStr">
        <is>
          <t>Lynn</t>
        </is>
      </c>
      <c r="B146" s="8" t="n">
        <v>4</v>
      </c>
      <c r="C146" s="8" t="inlineStr">
        <is>
          <t>Exploration</t>
        </is>
      </c>
      <c r="D146" s="8" t="n">
        <v>1</v>
      </c>
      <c r="E146" s="8" t="inlineStr">
        <is>
          <t>Hymn of Sidrak</t>
        </is>
      </c>
      <c r="F146" s="8" t="inlineStr">
        <is>
          <t>A battle hymn that cleans debuffs off all your troops, gives them an Attack boost, and keeps them immune to debuffs while it lasts.</t>
        </is>
      </c>
      <c r="G146" s="8" t="inlineStr">
        <is>
          <t>Duration</t>
        </is>
      </c>
      <c r="H146" s="13" t="inlineStr">
        <is>
          <t>3s</t>
        </is>
      </c>
      <c r="I146" s="13" t="inlineStr">
        <is>
          <t>3.5s</t>
        </is>
      </c>
      <c r="J146" s="13" t="inlineStr">
        <is>
          <t>4s</t>
        </is>
      </c>
      <c r="K146" s="13" t="inlineStr">
        <is>
          <t>4.5s</t>
        </is>
      </c>
      <c r="L146" s="13" t="inlineStr">
        <is>
          <t>5s</t>
        </is>
      </c>
    </row>
    <row r="147">
      <c r="A147" s="8" t="inlineStr">
        <is>
          <t>Lynn</t>
        </is>
      </c>
      <c r="B147" s="8" t="n">
        <v>4</v>
      </c>
      <c r="C147" s="8" t="inlineStr">
        <is>
          <t>Exploration</t>
        </is>
      </c>
      <c r="D147" s="8" t="n">
        <v>2</v>
      </c>
      <c r="E147" s="8" t="inlineStr">
        <is>
          <t>Lethal Finale</t>
        </is>
      </c>
      <c r="F147" s="8" t="inlineStr">
        <is>
          <t>A piercing shot that hits every enemy along its path.</t>
        </is>
      </c>
      <c r="G147" s="8" t="inlineStr">
        <is>
          <t>Damage (x Attack)</t>
        </is>
      </c>
      <c r="H147" s="13" t="inlineStr">
        <is>
          <t>220%</t>
        </is>
      </c>
      <c r="I147" s="13" t="inlineStr">
        <is>
          <t>240%</t>
        </is>
      </c>
      <c r="J147" s="13" t="inlineStr">
        <is>
          <t>260%</t>
        </is>
      </c>
      <c r="K147" s="13" t="inlineStr">
        <is>
          <t>280%</t>
        </is>
      </c>
      <c r="L147" s="13" t="inlineStr">
        <is>
          <t>300%</t>
        </is>
      </c>
    </row>
    <row r="148">
      <c r="A148" s="8" t="inlineStr">
        <is>
          <t>Lynn</t>
        </is>
      </c>
      <c r="B148" s="8" t="n">
        <v>4</v>
      </c>
      <c r="C148" s="8" t="inlineStr">
        <is>
          <t>Exploration</t>
        </is>
      </c>
      <c r="D148" s="8" t="n">
        <v>3</v>
      </c>
      <c r="E148" s="8" t="inlineStr">
        <is>
          <t>Discordant Tune</t>
        </is>
      </c>
      <c r="F148" s="8" t="inlineStr">
        <is>
          <t>Weakens all enemies by slowing their Attack Speed and cutting the healing they receive.</t>
        </is>
      </c>
      <c r="G148" s="8" t="inlineStr">
        <is>
          <t>Attack Speed reduction</t>
        </is>
      </c>
      <c r="H148" s="13" t="inlineStr">
        <is>
          <t>1%</t>
        </is>
      </c>
      <c r="I148" s="13" t="inlineStr">
        <is>
          <t>1.5%</t>
        </is>
      </c>
      <c r="J148" s="13" t="inlineStr">
        <is>
          <t>2%</t>
        </is>
      </c>
      <c r="K148" s="13" t="inlineStr">
        <is>
          <t>2.5%</t>
        </is>
      </c>
      <c r="L148" s="13" t="inlineStr">
        <is>
          <t>3%</t>
        </is>
      </c>
    </row>
    <row r="149">
      <c r="A149" s="8" t="inlineStr">
        <is>
          <t>Lynn</t>
        </is>
      </c>
      <c r="B149" s="8" t="n">
        <v>4</v>
      </c>
      <c r="C149" s="8" t="inlineStr">
        <is>
          <t>Exploration</t>
        </is>
      </c>
      <c r="D149" s="8" t="n">
        <v>3</v>
      </c>
      <c r="E149" s="8" t="inlineStr">
        <is>
          <t>Discordant Tune</t>
        </is>
      </c>
      <c r="F149" s="8" t="inlineStr">
        <is>
          <t>Weakens all enemies by slowing their Attack Speed and cutting the healing they receive.</t>
        </is>
      </c>
      <c r="G149" s="8" t="inlineStr">
        <is>
          <t>Healing reduction</t>
        </is>
      </c>
      <c r="H149" s="13" t="inlineStr">
        <is>
          <t>40%</t>
        </is>
      </c>
      <c r="I149" s="13" t="inlineStr">
        <is>
          <t>45%</t>
        </is>
      </c>
      <c r="J149" s="13" t="inlineStr">
        <is>
          <t>50%</t>
        </is>
      </c>
      <c r="K149" s="13" t="inlineStr">
        <is>
          <t>55%</t>
        </is>
      </c>
      <c r="L149" s="13" t="inlineStr">
        <is>
          <t>60%</t>
        </is>
      </c>
    </row>
    <row r="150">
      <c r="A150" s="8" t="inlineStr">
        <is>
          <t>Lynn</t>
        </is>
      </c>
      <c r="B150" s="8" t="n">
        <v>4</v>
      </c>
      <c r="C150" s="8" t="inlineStr">
        <is>
          <t>Expedition</t>
        </is>
      </c>
      <c r="D150" s="8" t="n">
        <v>1</v>
      </c>
      <c r="E150" s="8" t="inlineStr">
        <is>
          <t>Song of Lion</t>
        </is>
      </c>
      <c r="F150" s="8" t="inlineStr">
        <is>
          <t>40% chance to boost the damage your squad deals.</t>
        </is>
      </c>
      <c r="G150" s="8" t="inlineStr">
        <is>
          <t>Damage dealt bonus on proc</t>
        </is>
      </c>
      <c r="H150" s="13" t="inlineStr">
        <is>
          <t>10%</t>
        </is>
      </c>
      <c r="I150" s="13" t="inlineStr">
        <is>
          <t>20%</t>
        </is>
      </c>
      <c r="J150" s="13" t="inlineStr">
        <is>
          <t>30%</t>
        </is>
      </c>
      <c r="K150" s="13" t="inlineStr">
        <is>
          <t>40%</t>
        </is>
      </c>
      <c r="L150" s="13" t="inlineStr">
        <is>
          <t>50%</t>
        </is>
      </c>
    </row>
    <row r="151">
      <c r="A151" s="8" t="inlineStr">
        <is>
          <t>Lynn</t>
        </is>
      </c>
      <c r="B151" s="8" t="n">
        <v>4</v>
      </c>
      <c r="C151" s="8" t="inlineStr">
        <is>
          <t>Expedition</t>
        </is>
      </c>
      <c r="D151" s="8" t="n">
        <v>2</v>
      </c>
      <c r="E151" s="8" t="inlineStr">
        <is>
          <t>Melancholic Ballad</t>
        </is>
      </c>
      <c r="F151" s="8" t="inlineStr">
        <is>
          <t>Reduces the damage every enemy troop deals.</t>
        </is>
      </c>
      <c r="G151" s="8" t="inlineStr">
        <is>
          <t>Enemy damage reduction</t>
        </is>
      </c>
      <c r="H151" s="13" t="inlineStr">
        <is>
          <t>4%</t>
        </is>
      </c>
      <c r="I151" s="13" t="inlineStr">
        <is>
          <t>8%</t>
        </is>
      </c>
      <c r="J151" s="13" t="inlineStr">
        <is>
          <t>12%</t>
        </is>
      </c>
      <c r="K151" s="13" t="inlineStr">
        <is>
          <t>16%</t>
        </is>
      </c>
      <c r="L151" s="13" t="inlineStr">
        <is>
          <t>20%</t>
        </is>
      </c>
    </row>
    <row r="152">
      <c r="A152" s="8" t="inlineStr">
        <is>
          <t>Lynn</t>
        </is>
      </c>
      <c r="B152" s="8" t="n">
        <v>4</v>
      </c>
      <c r="C152" s="8" t="inlineStr">
        <is>
          <t>Expedition</t>
        </is>
      </c>
      <c r="D152" s="8" t="n">
        <v>3</v>
      </c>
      <c r="E152" s="8" t="inlineStr">
        <is>
          <t>Oonai Cadenza</t>
        </is>
      </c>
      <c r="F152" s="8" t="inlineStr">
        <is>
          <t>Her Marksmen gain Attack for every 3 attacks. It stacks and lasts until the end of the fight.</t>
        </is>
      </c>
      <c r="G152" s="8" t="inlineStr">
        <is>
          <t>Attack per 3 attacks</t>
        </is>
      </c>
      <c r="H152" s="13" t="inlineStr">
        <is>
          <t>1%</t>
        </is>
      </c>
      <c r="I152" s="13" t="inlineStr">
        <is>
          <t>2%</t>
        </is>
      </c>
      <c r="J152" s="13" t="inlineStr">
        <is>
          <t>3%</t>
        </is>
      </c>
      <c r="K152" s="13" t="inlineStr">
        <is>
          <t>4%</t>
        </is>
      </c>
      <c r="L152" s="13" t="inlineStr">
        <is>
          <t>5%</t>
        </is>
      </c>
    </row>
    <row r="153">
      <c r="A153" s="8" t="inlineStr">
        <is>
          <t>Reina</t>
        </is>
      </c>
      <c r="B153" s="8" t="n">
        <v>4</v>
      </c>
      <c r="C153" s="8" t="inlineStr">
        <is>
          <t>Exploration</t>
        </is>
      </c>
      <c r="D153" s="8" t="n">
        <v>1</v>
      </c>
      <c r="E153" s="8" t="inlineStr">
        <is>
          <t>Phantom Assault</t>
        </is>
      </c>
      <c r="F153" s="8" t="inlineStr">
        <is>
          <t>An illusion ambushes the enemy from behind with heavy area damage.</t>
        </is>
      </c>
      <c r="G153" s="8" t="inlineStr">
        <is>
          <t>Area damage (x Attack)</t>
        </is>
      </c>
      <c r="H153" s="13" t="inlineStr">
        <is>
          <t>300%</t>
        </is>
      </c>
      <c r="I153" s="13" t="inlineStr">
        <is>
          <t>330%</t>
        </is>
      </c>
      <c r="J153" s="13" t="inlineStr">
        <is>
          <t>360%</t>
        </is>
      </c>
      <c r="K153" s="13" t="inlineStr">
        <is>
          <t>390%</t>
        </is>
      </c>
      <c r="L153" s="13" t="inlineStr">
        <is>
          <t>420%</t>
        </is>
      </c>
    </row>
    <row r="154">
      <c r="A154" s="8" t="inlineStr">
        <is>
          <t>Reina</t>
        </is>
      </c>
      <c r="B154" s="8" t="n">
        <v>4</v>
      </c>
      <c r="C154" s="8" t="inlineStr">
        <is>
          <t>Exploration</t>
        </is>
      </c>
      <c r="D154" s="8" t="n">
        <v>2</v>
      </c>
      <c r="E154" s="8" t="inlineStr">
        <is>
          <t>Vanishing Technique</t>
        </is>
      </c>
      <c r="F154" s="8" t="inlineStr">
        <is>
          <t>When hit by a normal attack she has a chance to dodge it.</t>
        </is>
      </c>
      <c r="G154" s="8" t="inlineStr">
        <is>
          <t>Dodge chance</t>
        </is>
      </c>
      <c r="H154" s="13" t="inlineStr">
        <is>
          <t>5%</t>
        </is>
      </c>
      <c r="I154" s="13" t="inlineStr">
        <is>
          <t>10%</t>
        </is>
      </c>
      <c r="J154" s="13" t="inlineStr">
        <is>
          <t>15%</t>
        </is>
      </c>
      <c r="K154" s="13" t="inlineStr">
        <is>
          <t>20%</t>
        </is>
      </c>
      <c r="L154" s="13" t="inlineStr">
        <is>
          <t>25%</t>
        </is>
      </c>
    </row>
    <row r="155">
      <c r="A155" s="8" t="inlineStr">
        <is>
          <t>Reina</t>
        </is>
      </c>
      <c r="B155" s="8" t="n">
        <v>4</v>
      </c>
      <c r="C155" s="8" t="inlineStr">
        <is>
          <t>Exploration</t>
        </is>
      </c>
      <c r="D155" s="8" t="n">
        <v>3</v>
      </c>
      <c r="E155" s="8" t="inlineStr">
        <is>
          <t>Poison of Demon</t>
        </is>
      </c>
      <c r="F155" s="8" t="inlineStr">
        <is>
          <t>Casts an illusion on a target, damaging it and holding it in place for 1.5 seconds. Heroes are targeted first.</t>
        </is>
      </c>
      <c r="G155" s="8" t="inlineStr">
        <is>
          <t>Damage (x Attack)</t>
        </is>
      </c>
      <c r="H155" s="13" t="inlineStr">
        <is>
          <t>100%</t>
        </is>
      </c>
      <c r="I155" s="13" t="inlineStr">
        <is>
          <t>110%</t>
        </is>
      </c>
      <c r="J155" s="13" t="inlineStr">
        <is>
          <t>120%</t>
        </is>
      </c>
      <c r="K155" s="13" t="inlineStr">
        <is>
          <t>130%</t>
        </is>
      </c>
      <c r="L155" s="13" t="inlineStr">
        <is>
          <t>140%</t>
        </is>
      </c>
    </row>
    <row r="156">
      <c r="A156" s="8" t="inlineStr">
        <is>
          <t>Reina</t>
        </is>
      </c>
      <c r="B156" s="8" t="n">
        <v>4</v>
      </c>
      <c r="C156" s="8" t="inlineStr">
        <is>
          <t>Expedition</t>
        </is>
      </c>
      <c r="D156" s="8" t="n">
        <v>1</v>
      </c>
      <c r="E156" s="8" t="inlineStr">
        <is>
          <t>Assassin's Instinct</t>
        </is>
      </c>
      <c r="F156" s="8" t="inlineStr">
        <is>
          <t>Increases the damage of your troops' normal attacks.</t>
        </is>
      </c>
      <c r="G156" s="8" t="inlineStr">
        <is>
          <t>Normal attack damage bonus</t>
        </is>
      </c>
      <c r="H156" s="13" t="inlineStr">
        <is>
          <t>10%</t>
        </is>
      </c>
      <c r="I156" s="13" t="inlineStr">
        <is>
          <t>15%</t>
        </is>
      </c>
      <c r="J156" s="13" t="inlineStr">
        <is>
          <t>20%</t>
        </is>
      </c>
      <c r="K156" s="13" t="inlineStr">
        <is>
          <t>25%</t>
        </is>
      </c>
      <c r="L156" s="13" t="inlineStr">
        <is>
          <t>30%</t>
        </is>
      </c>
    </row>
    <row r="157">
      <c r="A157" s="8" t="inlineStr">
        <is>
          <t>Reina</t>
        </is>
      </c>
      <c r="B157" s="8" t="n">
        <v>4</v>
      </c>
      <c r="C157" s="8" t="inlineStr">
        <is>
          <t>Expedition</t>
        </is>
      </c>
      <c r="D157" s="8" t="n">
        <v>2</v>
      </c>
      <c r="E157" s="8" t="inlineStr">
        <is>
          <t>Swift Jive</t>
        </is>
      </c>
      <c r="F157" s="8" t="inlineStr">
        <is>
          <t>Gives every troop a chance to dodge normal attacks.</t>
        </is>
      </c>
      <c r="G157" s="8" t="inlineStr">
        <is>
          <t>Dodge chance</t>
        </is>
      </c>
      <c r="H157" s="13" t="inlineStr">
        <is>
          <t>4%</t>
        </is>
      </c>
      <c r="I157" s="13" t="inlineStr">
        <is>
          <t>8%</t>
        </is>
      </c>
      <c r="J157" s="13" t="inlineStr">
        <is>
          <t>12%</t>
        </is>
      </c>
      <c r="K157" s="13" t="inlineStr">
        <is>
          <t>16%</t>
        </is>
      </c>
      <c r="L157" s="13" t="inlineStr">
        <is>
          <t>20%</t>
        </is>
      </c>
    </row>
    <row r="158">
      <c r="A158" s="8" t="inlineStr">
        <is>
          <t>Reina</t>
        </is>
      </c>
      <c r="B158" s="8" t="n">
        <v>4</v>
      </c>
      <c r="C158" s="8" t="inlineStr">
        <is>
          <t>Expedition</t>
        </is>
      </c>
      <c r="D158" s="8" t="n">
        <v>3</v>
      </c>
      <c r="E158" s="8" t="inlineStr">
        <is>
          <t>Shadow Blade</t>
        </is>
      </c>
      <c r="F158" s="8" t="inlineStr">
        <is>
          <t>Her Lancers have a 25% chance to make an extra attack.</t>
        </is>
      </c>
      <c r="G158" s="8" t="inlineStr">
        <is>
          <t>Extra attack damage</t>
        </is>
      </c>
      <c r="H158" s="13" t="inlineStr">
        <is>
          <t>120%</t>
        </is>
      </c>
      <c r="I158" s="13" t="inlineStr">
        <is>
          <t>140%</t>
        </is>
      </c>
      <c r="J158" s="13" t="inlineStr">
        <is>
          <t>160%</t>
        </is>
      </c>
      <c r="K158" s="13" t="inlineStr">
        <is>
          <t>180%</t>
        </is>
      </c>
      <c r="L158" s="13" t="inlineStr">
        <is>
          <t>200%</t>
        </is>
      </c>
    </row>
    <row r="159">
      <c r="A159" s="8" t="inlineStr">
        <is>
          <t>Gwen</t>
        </is>
      </c>
      <c r="B159" s="8" t="n">
        <v>5</v>
      </c>
      <c r="C159" s="8" t="inlineStr">
        <is>
          <t>Exploration</t>
        </is>
      </c>
      <c r="D159" s="8" t="n">
        <v>1</v>
      </c>
      <c r="E159" s="8" t="inlineStr">
        <is>
          <t>Salvo</t>
        </is>
      </c>
      <c r="F159" s="8" t="inlineStr">
        <is>
          <t>A rear-line salvo with area damage that also slows target Attack Speed by 50% for 2 seconds. Heroes are targeted first.</t>
        </is>
      </c>
      <c r="G159" s="8" t="inlineStr">
        <is>
          <t>Area damage (x Attack)</t>
        </is>
      </c>
      <c r="H159" s="13" t="inlineStr">
        <is>
          <t>180%</t>
        </is>
      </c>
      <c r="I159" s="13" t="inlineStr">
        <is>
          <t>198%</t>
        </is>
      </c>
      <c r="J159" s="13" t="inlineStr">
        <is>
          <t>216%</t>
        </is>
      </c>
      <c r="K159" s="13" t="inlineStr">
        <is>
          <t>234%</t>
        </is>
      </c>
      <c r="L159" s="13" t="inlineStr">
        <is>
          <t>252%</t>
        </is>
      </c>
    </row>
    <row r="160">
      <c r="A160" s="8" t="inlineStr">
        <is>
          <t>Gwen</t>
        </is>
      </c>
      <c r="B160" s="8" t="n">
        <v>5</v>
      </c>
      <c r="C160" s="8" t="inlineStr">
        <is>
          <t>Exploration</t>
        </is>
      </c>
      <c r="D160" s="8" t="n">
        <v>2</v>
      </c>
      <c r="E160" s="8" t="inlineStr">
        <is>
          <t>Sky Sniper</t>
        </is>
      </c>
      <c r="F160" s="8" t="inlineStr">
        <is>
          <t>A precision air strike with a 50% chance to deal double damage. Heroes are targeted first.</t>
        </is>
      </c>
      <c r="G160" s="8" t="inlineStr">
        <is>
          <t>Damage (x Attack)</t>
        </is>
      </c>
      <c r="H160" s="13" t="inlineStr">
        <is>
          <t>100%</t>
        </is>
      </c>
      <c r="I160" s="13" t="inlineStr">
        <is>
          <t>110%</t>
        </is>
      </c>
      <c r="J160" s="13" t="inlineStr">
        <is>
          <t>120%</t>
        </is>
      </c>
      <c r="K160" s="13" t="inlineStr">
        <is>
          <t>130%</t>
        </is>
      </c>
      <c r="L160" s="13" t="inlineStr">
        <is>
          <t>140%</t>
        </is>
      </c>
    </row>
    <row r="161">
      <c r="A161" s="8" t="inlineStr">
        <is>
          <t>Gwen</t>
        </is>
      </c>
      <c r="B161" s="8" t="n">
        <v>5</v>
      </c>
      <c r="C161" s="8" t="inlineStr">
        <is>
          <t>Exploration</t>
        </is>
      </c>
      <c r="D161" s="8" t="n">
        <v>3</v>
      </c>
      <c r="E161" s="8" t="inlineStr">
        <is>
          <t>Hellfire</t>
        </is>
      </c>
      <c r="F161" s="8" t="inlineStr">
        <is>
          <t>An incendiary grenade that burns everything in the area for 3 seconds.</t>
        </is>
      </c>
      <c r="G161" s="8" t="inlineStr">
        <is>
          <t>Burn damage per second (x Attack)</t>
        </is>
      </c>
      <c r="H161" s="13" t="inlineStr">
        <is>
          <t>35%</t>
        </is>
      </c>
      <c r="I161" s="13" t="inlineStr">
        <is>
          <t>38.5%</t>
        </is>
      </c>
      <c r="J161" s="13" t="inlineStr">
        <is>
          <t>42%</t>
        </is>
      </c>
      <c r="K161" s="13" t="inlineStr">
        <is>
          <t>45.5%</t>
        </is>
      </c>
      <c r="L161" s="13" t="inlineStr">
        <is>
          <t>49%</t>
        </is>
      </c>
    </row>
    <row r="162">
      <c r="A162" s="8" t="inlineStr">
        <is>
          <t>Gwen</t>
        </is>
      </c>
      <c r="B162" s="8" t="n">
        <v>5</v>
      </c>
      <c r="C162" s="8" t="inlineStr">
        <is>
          <t>Expedition</t>
        </is>
      </c>
      <c r="D162" s="8" t="n">
        <v>1</v>
      </c>
      <c r="E162" s="8" t="inlineStr">
        <is>
          <t>Eagle Vision</t>
        </is>
      </c>
      <c r="F162" s="8" t="inlineStr">
        <is>
          <t>Marks the enemy so it takes extra damage.</t>
        </is>
      </c>
      <c r="G162" s="8" t="inlineStr">
        <is>
          <t>Extra damage taken</t>
        </is>
      </c>
      <c r="H162" s="13" t="inlineStr">
        <is>
          <t>5%</t>
        </is>
      </c>
      <c r="I162" s="13" t="inlineStr">
        <is>
          <t>10%</t>
        </is>
      </c>
      <c r="J162" s="13" t="inlineStr">
        <is>
          <t>15%</t>
        </is>
      </c>
      <c r="K162" s="13" t="inlineStr">
        <is>
          <t>20%</t>
        </is>
      </c>
      <c r="L162" s="13" t="inlineStr">
        <is>
          <t>25%</t>
        </is>
      </c>
    </row>
    <row r="163">
      <c r="A163" s="8" t="inlineStr">
        <is>
          <t>Gwen</t>
        </is>
      </c>
      <c r="B163" s="8" t="n">
        <v>5</v>
      </c>
      <c r="C163" s="8" t="inlineStr">
        <is>
          <t>Expedition</t>
        </is>
      </c>
      <c r="D163" s="8" t="n">
        <v>2</v>
      </c>
      <c r="E163" s="8" t="inlineStr">
        <is>
          <t>Air Dominance</t>
        </is>
      </c>
      <c r="F163" s="8" t="inlineStr">
        <is>
          <t>Every fifth attack deals bonus damage, and the next attack from any source also gets a small bonus.</t>
        </is>
      </c>
      <c r="G163" s="8" t="inlineStr">
        <is>
          <t>Bonus on fifth attack</t>
        </is>
      </c>
      <c r="H163" s="13" t="inlineStr">
        <is>
          <t>20%</t>
        </is>
      </c>
      <c r="I163" s="13" t="inlineStr">
        <is>
          <t>40%</t>
        </is>
      </c>
      <c r="J163" s="13" t="inlineStr">
        <is>
          <t>60%</t>
        </is>
      </c>
      <c r="K163" s="13" t="inlineStr">
        <is>
          <t>80%</t>
        </is>
      </c>
      <c r="L163" s="13" t="inlineStr">
        <is>
          <t>100%</t>
        </is>
      </c>
    </row>
    <row r="164">
      <c r="A164" s="8" t="inlineStr">
        <is>
          <t>Gwen</t>
        </is>
      </c>
      <c r="B164" s="8" t="n">
        <v>5</v>
      </c>
      <c r="C164" s="8" t="inlineStr">
        <is>
          <t>Expedition</t>
        </is>
      </c>
      <c r="D164" s="8" t="n">
        <v>2</v>
      </c>
      <c r="E164" s="8" t="inlineStr">
        <is>
          <t>Air Dominance</t>
        </is>
      </c>
      <c r="F164" s="8" t="inlineStr">
        <is>
          <t>Every fifth attack deals bonus damage, and the next attack from any source also gets a small bonus.</t>
        </is>
      </c>
      <c r="G164" s="8" t="inlineStr">
        <is>
          <t>Bonus on next attack</t>
        </is>
      </c>
      <c r="H164" s="13" t="inlineStr">
        <is>
          <t>5%</t>
        </is>
      </c>
      <c r="I164" s="13" t="inlineStr">
        <is>
          <t>7.5%</t>
        </is>
      </c>
      <c r="J164" s="13" t="inlineStr">
        <is>
          <t>10%</t>
        </is>
      </c>
      <c r="K164" s="13" t="inlineStr">
        <is>
          <t>12.5%</t>
        </is>
      </c>
      <c r="L164" s="13" t="inlineStr">
        <is>
          <t>15%</t>
        </is>
      </c>
    </row>
    <row r="165">
      <c r="A165" s="8" t="inlineStr">
        <is>
          <t>Gwen</t>
        </is>
      </c>
      <c r="B165" s="8" t="n">
        <v>5</v>
      </c>
      <c r="C165" s="8" t="inlineStr">
        <is>
          <t>Expedition</t>
        </is>
      </c>
      <c r="D165" s="8" t="n">
        <v>3</v>
      </c>
      <c r="E165" s="8" t="inlineStr">
        <is>
          <t>Blastmaster</t>
        </is>
      </c>
      <c r="F165" s="8" t="inlineStr">
        <is>
          <t>Every fourth attack, her grenades deal extra damage to all enemies.</t>
        </is>
      </c>
      <c r="G165" s="8" t="inlineStr">
        <is>
          <t>Extra damage</t>
        </is>
      </c>
      <c r="H165" s="13" t="inlineStr">
        <is>
          <t>10%</t>
        </is>
      </c>
      <c r="I165" s="13" t="inlineStr">
        <is>
          <t>20%</t>
        </is>
      </c>
      <c r="J165" s="13" t="inlineStr">
        <is>
          <t>30%</t>
        </is>
      </c>
      <c r="K165" s="13" t="inlineStr">
        <is>
          <t>40%</t>
        </is>
      </c>
      <c r="L165" s="13" t="inlineStr">
        <is>
          <t>50%</t>
        </is>
      </c>
    </row>
    <row r="166">
      <c r="A166" s="8" t="inlineStr">
        <is>
          <t>Hector</t>
        </is>
      </c>
      <c r="B166" s="8" t="n">
        <v>5</v>
      </c>
      <c r="C166" s="8" t="inlineStr">
        <is>
          <t>Exploration</t>
        </is>
      </c>
      <c r="D166" s="8" t="n">
        <v>1</v>
      </c>
      <c r="E166" s="8" t="inlineStr">
        <is>
          <t>Sword Whirlwind</t>
        </is>
      </c>
      <c r="F166" s="8" t="inlineStr">
        <is>
          <t>A sword whirlwind that boosts his Attack Speed and makes him immune to control effects for 4 seconds.</t>
        </is>
      </c>
      <c r="G166" s="8" t="inlineStr">
        <is>
          <t>Attack Speed bonus</t>
        </is>
      </c>
      <c r="H166" s="13" t="inlineStr">
        <is>
          <t>80%</t>
        </is>
      </c>
      <c r="I166" s="13" t="inlineStr">
        <is>
          <t>90%</t>
        </is>
      </c>
      <c r="J166" s="13" t="inlineStr">
        <is>
          <t>100%</t>
        </is>
      </c>
      <c r="K166" s="13" t="inlineStr">
        <is>
          <t>110%</t>
        </is>
      </c>
      <c r="L166" s="13" t="inlineStr">
        <is>
          <t>120%</t>
        </is>
      </c>
    </row>
    <row r="167">
      <c r="A167" s="8" t="inlineStr">
        <is>
          <t>Hector</t>
        </is>
      </c>
      <c r="B167" s="8" t="n">
        <v>5</v>
      </c>
      <c r="C167" s="8" t="inlineStr">
        <is>
          <t>Exploration</t>
        </is>
      </c>
      <c r="D167" s="8" t="n">
        <v>2</v>
      </c>
      <c r="E167" s="8" t="inlineStr">
        <is>
          <t>Desperado</t>
        </is>
      </c>
      <c r="F167" s="8" t="inlineStr">
        <is>
          <t>Below 50% Health he takes much less damage.</t>
        </is>
      </c>
      <c r="G167" s="8" t="inlineStr">
        <is>
          <t>Damage taken reduction</t>
        </is>
      </c>
      <c r="H167" s="13" t="inlineStr">
        <is>
          <t>20%</t>
        </is>
      </c>
      <c r="I167" s="13" t="inlineStr">
        <is>
          <t>30%</t>
        </is>
      </c>
      <c r="J167" s="13" t="inlineStr">
        <is>
          <t>40%</t>
        </is>
      </c>
      <c r="K167" s="13" t="inlineStr">
        <is>
          <t>50%</t>
        </is>
      </c>
      <c r="L167" s="13" t="inlineStr">
        <is>
          <t>60%</t>
        </is>
      </c>
    </row>
    <row r="168">
      <c r="A168" s="8" t="inlineStr">
        <is>
          <t>Hector</t>
        </is>
      </c>
      <c r="B168" s="8" t="n">
        <v>5</v>
      </c>
      <c r="C168" s="8" t="inlineStr">
        <is>
          <t>Exploration</t>
        </is>
      </c>
      <c r="D168" s="8" t="n">
        <v>3</v>
      </c>
      <c r="E168" s="8" t="inlineStr">
        <is>
          <t>Adrenaline Surge</t>
        </is>
      </c>
      <c r="F168" s="8" t="inlineStr">
        <is>
          <t>Below 50% Health he gains an Attack boost.</t>
        </is>
      </c>
      <c r="G168" s="8" t="inlineStr">
        <is>
          <t>Attack bonus</t>
        </is>
      </c>
      <c r="H168" s="13" t="inlineStr">
        <is>
          <t>16%</t>
        </is>
      </c>
      <c r="I168" s="13" t="inlineStr">
        <is>
          <t>24%</t>
        </is>
      </c>
      <c r="J168" s="13" t="inlineStr">
        <is>
          <t>32%</t>
        </is>
      </c>
      <c r="K168" s="13" t="inlineStr">
        <is>
          <t>40%</t>
        </is>
      </c>
      <c r="L168" s="13" t="inlineStr">
        <is>
          <t>48%</t>
        </is>
      </c>
    </row>
    <row r="169">
      <c r="A169" s="8" t="inlineStr">
        <is>
          <t>Hector</t>
        </is>
      </c>
      <c r="B169" s="8" t="n">
        <v>5</v>
      </c>
      <c r="C169" s="8" t="inlineStr">
        <is>
          <t>Expedition</t>
        </is>
      </c>
      <c r="D169" s="8" t="n">
        <v>1</v>
      </c>
      <c r="E169" s="8" t="inlineStr">
        <is>
          <t>Survival Instincts</t>
        </is>
      </c>
      <c r="F169" s="8" t="inlineStr">
        <is>
          <t>40% chance to cut the damage your whole squad takes.</t>
        </is>
      </c>
      <c r="G169" s="8" t="inlineStr">
        <is>
          <t>Damage taken reduction on proc</t>
        </is>
      </c>
      <c r="H169" s="13" t="inlineStr">
        <is>
          <t>10%</t>
        </is>
      </c>
      <c r="I169" s="13" t="inlineStr">
        <is>
          <t>20%</t>
        </is>
      </c>
      <c r="J169" s="13" t="inlineStr">
        <is>
          <t>30%</t>
        </is>
      </c>
      <c r="K169" s="13" t="inlineStr">
        <is>
          <t>40%</t>
        </is>
      </c>
      <c r="L169" s="13" t="inlineStr">
        <is>
          <t>50%</t>
        </is>
      </c>
    </row>
    <row r="170">
      <c r="A170" s="8" t="inlineStr">
        <is>
          <t>Hector</t>
        </is>
      </c>
      <c r="B170" s="8" t="n">
        <v>5</v>
      </c>
      <c r="C170" s="8" t="inlineStr">
        <is>
          <t>Expedition</t>
        </is>
      </c>
      <c r="D170" s="8" t="n">
        <v>2</v>
      </c>
      <c r="E170" s="8" t="inlineStr">
        <is>
          <t>Rampant</t>
        </is>
      </c>
      <c r="F170" s="8" t="inlineStr">
        <is>
          <t>Boosts Infantry and Marksman damage for 10 attacks, with each attack's boost shrinking to 85% of the one before.</t>
        </is>
      </c>
      <c r="G170" s="8" t="inlineStr">
        <is>
          <t>Infantry damage bonus</t>
        </is>
      </c>
      <c r="H170" s="13" t="inlineStr">
        <is>
          <t>100%</t>
        </is>
      </c>
      <c r="I170" s="13" t="inlineStr">
        <is>
          <t>125%</t>
        </is>
      </c>
      <c r="J170" s="13" t="inlineStr">
        <is>
          <t>150%</t>
        </is>
      </c>
      <c r="K170" s="13" t="inlineStr">
        <is>
          <t>175%</t>
        </is>
      </c>
      <c r="L170" s="13" t="inlineStr">
        <is>
          <t>200%</t>
        </is>
      </c>
    </row>
    <row r="171">
      <c r="A171" s="8" t="inlineStr">
        <is>
          <t>Hector</t>
        </is>
      </c>
      <c r="B171" s="8" t="n">
        <v>5</v>
      </c>
      <c r="C171" s="8" t="inlineStr">
        <is>
          <t>Expedition</t>
        </is>
      </c>
      <c r="D171" s="8" t="n">
        <v>2</v>
      </c>
      <c r="E171" s="8" t="inlineStr">
        <is>
          <t>Rampant</t>
        </is>
      </c>
      <c r="F171" s="8" t="inlineStr">
        <is>
          <t>Boosts Infantry and Marksman damage for 10 attacks, with each attack's boost shrinking to 85% of the one before.</t>
        </is>
      </c>
      <c r="G171" s="8" t="inlineStr">
        <is>
          <t>Marksman damage bonus</t>
        </is>
      </c>
      <c r="H171" s="13" t="inlineStr">
        <is>
          <t>20%</t>
        </is>
      </c>
      <c r="I171" s="13" t="inlineStr">
        <is>
          <t>40%</t>
        </is>
      </c>
      <c r="J171" s="13" t="inlineStr">
        <is>
          <t>60%</t>
        </is>
      </c>
      <c r="K171" s="13" t="inlineStr">
        <is>
          <t>80%</t>
        </is>
      </c>
      <c r="L171" s="13" t="inlineStr">
        <is>
          <t>100%</t>
        </is>
      </c>
    </row>
    <row r="172">
      <c r="A172" s="8" t="inlineStr">
        <is>
          <t>Hector</t>
        </is>
      </c>
      <c r="B172" s="8" t="n">
        <v>5</v>
      </c>
      <c r="C172" s="8" t="inlineStr">
        <is>
          <t>Expedition</t>
        </is>
      </c>
      <c r="D172" s="8" t="n">
        <v>3</v>
      </c>
      <c r="E172" s="8" t="inlineStr">
        <is>
          <t>Blitz</t>
        </is>
      </c>
      <c r="F172" s="8" t="inlineStr">
        <is>
          <t>Troop attacks have a 25% chance to deal bonus damage.</t>
        </is>
      </c>
      <c r="G172" s="8" t="inlineStr">
        <is>
          <t>Damage on proc</t>
        </is>
      </c>
      <c r="H172" s="13" t="inlineStr">
        <is>
          <t>120%</t>
        </is>
      </c>
      <c r="I172" s="13" t="inlineStr">
        <is>
          <t>140%</t>
        </is>
      </c>
      <c r="J172" s="13" t="inlineStr">
        <is>
          <t>160%</t>
        </is>
      </c>
      <c r="K172" s="13" t="inlineStr">
        <is>
          <t>180%</t>
        </is>
      </c>
      <c r="L172" s="13" t="inlineStr">
        <is>
          <t>200%</t>
        </is>
      </c>
    </row>
    <row r="173">
      <c r="A173" s="8" t="inlineStr">
        <is>
          <t>Norah</t>
        </is>
      </c>
      <c r="B173" s="8" t="n">
        <v>5</v>
      </c>
      <c r="C173" s="8" t="inlineStr">
        <is>
          <t>Exploration</t>
        </is>
      </c>
      <c r="D173" s="8" t="n">
        <v>1</v>
      </c>
      <c r="E173" s="8" t="inlineStr">
        <is>
          <t>Barrage</t>
        </is>
      </c>
      <c r="F173" s="8" t="inlineStr">
        <is>
          <t>A five-grenade cascade on random targets, heroes first, each dealing area damage.</t>
        </is>
      </c>
      <c r="G173" s="8" t="inlineStr">
        <is>
          <t>Damage per grenade (x Attack)</t>
        </is>
      </c>
      <c r="H173" s="13" t="inlineStr">
        <is>
          <t>60%</t>
        </is>
      </c>
      <c r="I173" s="13" t="inlineStr">
        <is>
          <t>66%</t>
        </is>
      </c>
      <c r="J173" s="13" t="inlineStr">
        <is>
          <t>72%</t>
        </is>
      </c>
      <c r="K173" s="13" t="inlineStr">
        <is>
          <t>78%</t>
        </is>
      </c>
      <c r="L173" s="13" t="inlineStr">
        <is>
          <t>84%</t>
        </is>
      </c>
    </row>
    <row r="174">
      <c r="A174" s="8" t="inlineStr">
        <is>
          <t>Norah</t>
        </is>
      </c>
      <c r="B174" s="8" t="n">
        <v>5</v>
      </c>
      <c r="C174" s="8" t="inlineStr">
        <is>
          <t>Exploration</t>
        </is>
      </c>
      <c r="D174" s="8" t="n">
        <v>2</v>
      </c>
      <c r="E174" s="8" t="inlineStr">
        <is>
          <t>Flashbang</t>
        </is>
      </c>
      <c r="F174" s="8" t="inlineStr">
        <is>
          <t>A flashbang that damages the target and stuns it for 1.5 seconds.</t>
        </is>
      </c>
      <c r="G174" s="8" t="inlineStr">
        <is>
          <t>Damage (x Attack)</t>
        </is>
      </c>
      <c r="H174" s="13" t="inlineStr">
        <is>
          <t>50%</t>
        </is>
      </c>
      <c r="I174" s="13" t="inlineStr">
        <is>
          <t>55%</t>
        </is>
      </c>
      <c r="J174" s="13" t="inlineStr">
        <is>
          <t>60%</t>
        </is>
      </c>
      <c r="K174" s="13" t="inlineStr">
        <is>
          <t>65%</t>
        </is>
      </c>
      <c r="L174" s="13" t="inlineStr">
        <is>
          <t>70%</t>
        </is>
      </c>
    </row>
    <row r="175">
      <c r="A175" s="8" t="inlineStr">
        <is>
          <t>Norah</t>
        </is>
      </c>
      <c r="B175" s="8" t="n">
        <v>5</v>
      </c>
      <c r="C175" s="8" t="inlineStr">
        <is>
          <t>Exploration</t>
        </is>
      </c>
      <c r="D175" s="8" t="n">
        <v>3</v>
      </c>
      <c r="E175" s="8" t="inlineStr">
        <is>
          <t>Valkyrie Cry</t>
        </is>
      </c>
      <c r="F175" s="8" t="inlineStr">
        <is>
          <t>Boosts the Attack of all troops.</t>
        </is>
      </c>
      <c r="G175" s="8" t="inlineStr">
        <is>
          <t>Attack bonus</t>
        </is>
      </c>
      <c r="H175" s="13" t="inlineStr">
        <is>
          <t>3%</t>
        </is>
      </c>
      <c r="I175" s="13" t="inlineStr">
        <is>
          <t>3.5%</t>
        </is>
      </c>
      <c r="J175" s="13" t="inlineStr">
        <is>
          <t>4%</t>
        </is>
      </c>
      <c r="K175" s="13" t="inlineStr">
        <is>
          <t>4.5%</t>
        </is>
      </c>
      <c r="L175" s="13" t="inlineStr">
        <is>
          <t>5%</t>
        </is>
      </c>
    </row>
    <row r="176">
      <c r="A176" s="8" t="inlineStr">
        <is>
          <t>Norah</t>
        </is>
      </c>
      <c r="B176" s="8" t="n">
        <v>5</v>
      </c>
      <c r="C176" s="8" t="inlineStr">
        <is>
          <t>Expedition</t>
        </is>
      </c>
      <c r="D176" s="8" t="n">
        <v>1</v>
      </c>
      <c r="E176" s="8" t="inlineStr">
        <is>
          <t>Combined Arms</t>
        </is>
      </c>
      <c r="F176" s="8" t="inlineStr">
        <is>
          <t>Reduces damage taken and boosts damage dealt for Infantry and Marksmen.</t>
        </is>
      </c>
      <c r="G176" s="8" t="inlineStr">
        <is>
          <t>Damage taken reduction</t>
        </is>
      </c>
      <c r="H176" s="13" t="inlineStr">
        <is>
          <t>3%</t>
        </is>
      </c>
      <c r="I176" s="13" t="inlineStr">
        <is>
          <t>6%</t>
        </is>
      </c>
      <c r="J176" s="13" t="inlineStr">
        <is>
          <t>9%</t>
        </is>
      </c>
      <c r="K176" s="13" t="inlineStr">
        <is>
          <t>12%</t>
        </is>
      </c>
      <c r="L176" s="13" t="inlineStr">
        <is>
          <t>15%</t>
        </is>
      </c>
    </row>
    <row r="177">
      <c r="A177" s="8" t="inlineStr">
        <is>
          <t>Norah</t>
        </is>
      </c>
      <c r="B177" s="8" t="n">
        <v>5</v>
      </c>
      <c r="C177" s="8" t="inlineStr">
        <is>
          <t>Expedition</t>
        </is>
      </c>
      <c r="D177" s="8" t="n">
        <v>1</v>
      </c>
      <c r="E177" s="8" t="inlineStr">
        <is>
          <t>Combined Arms</t>
        </is>
      </c>
      <c r="F177" s="8" t="inlineStr">
        <is>
          <t>Reduces damage taken and boosts damage dealt for Infantry and Marksmen.</t>
        </is>
      </c>
      <c r="G177" s="8" t="inlineStr">
        <is>
          <t>Damage dealt bonus</t>
        </is>
      </c>
      <c r="H177" s="13" t="inlineStr">
        <is>
          <t>3%</t>
        </is>
      </c>
      <c r="I177" s="13" t="inlineStr">
        <is>
          <t>6%</t>
        </is>
      </c>
      <c r="J177" s="13" t="inlineStr">
        <is>
          <t>9%</t>
        </is>
      </c>
      <c r="K177" s="13" t="inlineStr">
        <is>
          <t>12%</t>
        </is>
      </c>
      <c r="L177" s="13" t="inlineStr">
        <is>
          <t>15%</t>
        </is>
      </c>
    </row>
    <row r="178">
      <c r="A178" s="8" t="inlineStr">
        <is>
          <t>Norah</t>
        </is>
      </c>
      <c r="B178" s="8" t="n">
        <v>5</v>
      </c>
      <c r="C178" s="8" t="inlineStr">
        <is>
          <t>Expedition</t>
        </is>
      </c>
      <c r="D178" s="8" t="n">
        <v>2</v>
      </c>
      <c r="E178" s="8" t="inlineStr">
        <is>
          <t>Sneak Strike</t>
        </is>
      </c>
      <c r="F178" s="8" t="inlineStr">
        <is>
          <t>Her Lancers have a 20% chance to deal extra damage to all enemies when they attack.</t>
        </is>
      </c>
      <c r="G178" s="8" t="inlineStr">
        <is>
          <t>Extra damage on proc</t>
        </is>
      </c>
      <c r="H178" s="13" t="inlineStr">
        <is>
          <t>20%</t>
        </is>
      </c>
      <c r="I178" s="13" t="inlineStr">
        <is>
          <t>40%</t>
        </is>
      </c>
      <c r="J178" s="13" t="inlineStr">
        <is>
          <t>60%</t>
        </is>
      </c>
      <c r="K178" s="13" t="inlineStr">
        <is>
          <t>80%</t>
        </is>
      </c>
      <c r="L178" s="13" t="inlineStr">
        <is>
          <t>100%</t>
        </is>
      </c>
    </row>
    <row r="179">
      <c r="A179" s="8" t="inlineStr">
        <is>
          <t>Norah</t>
        </is>
      </c>
      <c r="B179" s="8" t="n">
        <v>5</v>
      </c>
      <c r="C179" s="8" t="inlineStr">
        <is>
          <t>Expedition</t>
        </is>
      </c>
      <c r="D179" s="8" t="n">
        <v>3</v>
      </c>
      <c r="E179" s="8" t="inlineStr">
        <is>
          <t>Momentum</t>
        </is>
      </c>
      <c r="F179" s="8" t="inlineStr">
        <is>
          <t>Every 5 Lancer attacks, your whole squad deals more damage and takes less for 2 turns.</t>
        </is>
      </c>
      <c r="G179" s="8" t="inlineStr">
        <is>
          <t>Damage dealt bonus</t>
        </is>
      </c>
      <c r="H179" s="13" t="inlineStr">
        <is>
          <t>5%</t>
        </is>
      </c>
      <c r="I179" s="13" t="inlineStr">
        <is>
          <t>10%</t>
        </is>
      </c>
      <c r="J179" s="13" t="inlineStr">
        <is>
          <t>15%</t>
        </is>
      </c>
      <c r="K179" s="13" t="inlineStr">
        <is>
          <t>20%</t>
        </is>
      </c>
      <c r="L179" s="13" t="inlineStr">
        <is>
          <t>25%</t>
        </is>
      </c>
    </row>
    <row r="180">
      <c r="A180" s="8" t="inlineStr">
        <is>
          <t>Norah</t>
        </is>
      </c>
      <c r="B180" s="8" t="n">
        <v>5</v>
      </c>
      <c r="C180" s="8" t="inlineStr">
        <is>
          <t>Expedition</t>
        </is>
      </c>
      <c r="D180" s="8" t="n">
        <v>3</v>
      </c>
      <c r="E180" s="8" t="inlineStr">
        <is>
          <t>Momentum</t>
        </is>
      </c>
      <c r="F180" s="8" t="inlineStr">
        <is>
          <t>Every 5 Lancer attacks, your whole squad deals more damage and takes less for 2 turns.</t>
        </is>
      </c>
      <c r="G180" s="8" t="inlineStr">
        <is>
          <t>Damage taken reduction</t>
        </is>
      </c>
      <c r="H180" s="13" t="inlineStr">
        <is>
          <t>5%</t>
        </is>
      </c>
      <c r="I180" s="13" t="inlineStr">
        <is>
          <t>10%</t>
        </is>
      </c>
      <c r="J180" s="13" t="inlineStr">
        <is>
          <t>15%</t>
        </is>
      </c>
      <c r="K180" s="13" t="inlineStr">
        <is>
          <t>20%</t>
        </is>
      </c>
      <c r="L180" s="13" t="inlineStr">
        <is>
          <t>25%</t>
        </is>
      </c>
    </row>
    <row r="181">
      <c r="A181" s="8" t="inlineStr">
        <is>
          <t>Renee</t>
        </is>
      </c>
      <c r="B181" s="8" t="n">
        <v>6</v>
      </c>
      <c r="C181" s="8" t="inlineStr">
        <is>
          <t>Exploration</t>
        </is>
      </c>
      <c r="D181" s="8" t="n">
        <v>1</v>
      </c>
      <c r="E181" s="8" t="inlineStr">
        <is>
          <t>Illusion Cloud</t>
        </is>
      </c>
      <c r="F181" s="8" t="inlineStr">
        <is>
          <t>A colourful ball explodes into a cloud that damages enemies and confuses them for 1 second. Confused enemies hit anyone near them, friend or foe.</t>
        </is>
      </c>
      <c r="G181" s="8" t="inlineStr">
        <is>
          <t>Area damage (x Attack)</t>
        </is>
      </c>
      <c r="H181" s="13" t="inlineStr">
        <is>
          <t>100%</t>
        </is>
      </c>
      <c r="I181" s="13" t="inlineStr">
        <is>
          <t>110%</t>
        </is>
      </c>
      <c r="J181" s="13" t="inlineStr">
        <is>
          <t>120%</t>
        </is>
      </c>
      <c r="K181" s="13" t="inlineStr">
        <is>
          <t>130%</t>
        </is>
      </c>
      <c r="L181" s="13" t="inlineStr">
        <is>
          <t>140%</t>
        </is>
      </c>
    </row>
    <row r="182">
      <c r="A182" s="8" t="inlineStr">
        <is>
          <t>Renee</t>
        </is>
      </c>
      <c r="B182" s="8" t="n">
        <v>6</v>
      </c>
      <c r="C182" s="8" t="inlineStr">
        <is>
          <t>Exploration</t>
        </is>
      </c>
      <c r="D182" s="8" t="n">
        <v>2</v>
      </c>
      <c r="E182" s="8" t="inlineStr">
        <is>
          <t>Starpaint</t>
        </is>
      </c>
      <c r="F182" s="8" t="inlineStr">
        <is>
          <t>Splashes paint on targets for damage and leaves a Star Mark that makes them take extra damage for 4 seconds.</t>
        </is>
      </c>
      <c r="G182" s="8" t="inlineStr">
        <is>
          <t>Damage (x Attack)</t>
        </is>
      </c>
      <c r="H182" s="13" t="inlineStr">
        <is>
          <t>50%</t>
        </is>
      </c>
      <c r="I182" s="13" t="inlineStr">
        <is>
          <t>55%</t>
        </is>
      </c>
      <c r="J182" s="13" t="inlineStr">
        <is>
          <t>60%</t>
        </is>
      </c>
      <c r="K182" s="13" t="inlineStr">
        <is>
          <t>65%</t>
        </is>
      </c>
      <c r="L182" s="13" t="inlineStr">
        <is>
          <t>70%</t>
        </is>
      </c>
    </row>
    <row r="183">
      <c r="A183" s="8" t="inlineStr">
        <is>
          <t>Renee</t>
        </is>
      </c>
      <c r="B183" s="8" t="n">
        <v>6</v>
      </c>
      <c r="C183" s="8" t="inlineStr">
        <is>
          <t>Exploration</t>
        </is>
      </c>
      <c r="D183" s="8" t="n">
        <v>2</v>
      </c>
      <c r="E183" s="8" t="inlineStr">
        <is>
          <t>Starpaint</t>
        </is>
      </c>
      <c r="F183" s="8" t="inlineStr">
        <is>
          <t>Splashes paint on targets for damage and leaves a Star Mark that makes them take extra damage for 4 seconds.</t>
        </is>
      </c>
      <c r="G183" s="8" t="inlineStr">
        <is>
          <t>Extra damage taken (marked)</t>
        </is>
      </c>
      <c r="H183" s="13" t="inlineStr">
        <is>
          <t>2%</t>
        </is>
      </c>
      <c r="I183" s="13" t="inlineStr">
        <is>
          <t>3%</t>
        </is>
      </c>
      <c r="J183" s="13" t="inlineStr">
        <is>
          <t>4%</t>
        </is>
      </c>
      <c r="K183" s="13" t="inlineStr">
        <is>
          <t>5%</t>
        </is>
      </c>
      <c r="L183" s="13" t="inlineStr">
        <is>
          <t>6%</t>
        </is>
      </c>
    </row>
    <row r="184">
      <c r="A184" s="8" t="inlineStr">
        <is>
          <t>Renee</t>
        </is>
      </c>
      <c r="B184" s="8" t="n">
        <v>6</v>
      </c>
      <c r="C184" s="8" t="inlineStr">
        <is>
          <t>Exploration</t>
        </is>
      </c>
      <c r="D184" s="8" t="n">
        <v>3</v>
      </c>
      <c r="E184" s="8" t="inlineStr">
        <is>
          <t>Dream Vision</t>
        </is>
      </c>
      <c r="F184" s="8" t="inlineStr">
        <is>
          <t>Gives her an Attack boost and extra damage against enemies that carry her Star Mark.</t>
        </is>
      </c>
      <c r="G184" s="8" t="inlineStr">
        <is>
          <t>Attack bonus</t>
        </is>
      </c>
      <c r="H184" s="13" t="inlineStr">
        <is>
          <t>8%</t>
        </is>
      </c>
      <c r="I184" s="13" t="inlineStr">
        <is>
          <t>12%</t>
        </is>
      </c>
      <c r="J184" s="13" t="inlineStr">
        <is>
          <t>16%</t>
        </is>
      </c>
      <c r="K184" s="13" t="inlineStr">
        <is>
          <t>20%</t>
        </is>
      </c>
      <c r="L184" s="13" t="inlineStr">
        <is>
          <t>24%</t>
        </is>
      </c>
    </row>
    <row r="185">
      <c r="A185" s="8" t="inlineStr">
        <is>
          <t>Renee</t>
        </is>
      </c>
      <c r="B185" s="8" t="n">
        <v>6</v>
      </c>
      <c r="C185" s="8" t="inlineStr">
        <is>
          <t>Exploration</t>
        </is>
      </c>
      <c r="D185" s="8" t="n">
        <v>3</v>
      </c>
      <c r="E185" s="8" t="inlineStr">
        <is>
          <t>Dream Vision</t>
        </is>
      </c>
      <c r="F185" s="8" t="inlineStr">
        <is>
          <t>Gives her an Attack boost and extra damage against enemies that carry her Star Mark.</t>
        </is>
      </c>
      <c r="G185" s="8" t="inlineStr">
        <is>
          <t>Damage to marked targets</t>
        </is>
      </c>
      <c r="H185" s="13" t="inlineStr">
        <is>
          <t>4%</t>
        </is>
      </c>
      <c r="I185" s="13" t="inlineStr">
        <is>
          <t>6%</t>
        </is>
      </c>
      <c r="J185" s="13" t="inlineStr">
        <is>
          <t>8%</t>
        </is>
      </c>
      <c r="K185" s="13" t="inlineStr">
        <is>
          <t>10%</t>
        </is>
      </c>
      <c r="L185" s="13" t="inlineStr">
        <is>
          <t>12%</t>
        </is>
      </c>
    </row>
    <row r="186">
      <c r="A186" s="8" t="inlineStr">
        <is>
          <t>Renee</t>
        </is>
      </c>
      <c r="B186" s="8" t="n">
        <v>6</v>
      </c>
      <c r="C186" s="8" t="inlineStr">
        <is>
          <t>Expedition</t>
        </is>
      </c>
      <c r="D186" s="8" t="n">
        <v>1</v>
      </c>
      <c r="E186" s="8" t="inlineStr">
        <is>
          <t>Nightmare Trace</t>
        </is>
      </c>
      <c r="F186" s="8" t="inlineStr">
        <is>
          <t>Her troops place Dream Marks every two turns, which trigger extra Lancer damage on the next turn. Marks last 1 turn.</t>
        </is>
      </c>
      <c r="G186" s="8" t="inlineStr">
        <is>
          <t>Extra Lancer damage</t>
        </is>
      </c>
      <c r="H186" s="13" t="inlineStr">
        <is>
          <t>40%</t>
        </is>
      </c>
      <c r="I186" s="13" t="inlineStr">
        <is>
          <t>80%</t>
        </is>
      </c>
      <c r="J186" s="13" t="inlineStr">
        <is>
          <t>120%</t>
        </is>
      </c>
      <c r="K186" s="13" t="inlineStr">
        <is>
          <t>160%</t>
        </is>
      </c>
      <c r="L186" s="13" t="inlineStr">
        <is>
          <t>200%</t>
        </is>
      </c>
    </row>
    <row r="187">
      <c r="A187" s="8" t="inlineStr">
        <is>
          <t>Renee</t>
        </is>
      </c>
      <c r="B187" s="8" t="n">
        <v>6</v>
      </c>
      <c r="C187" s="8" t="inlineStr">
        <is>
          <t>Expedition</t>
        </is>
      </c>
      <c r="D187" s="8" t="n">
        <v>2</v>
      </c>
      <c r="E187" s="8" t="inlineStr">
        <is>
          <t>Dreamcatcher</t>
        </is>
      </c>
      <c r="F187" s="8" t="inlineStr">
        <is>
          <t>Her Lancers deal more damage to marked targets.</t>
        </is>
      </c>
      <c r="G187" s="8" t="inlineStr">
        <is>
          <t>Lancer damage to marked</t>
        </is>
      </c>
      <c r="H187" s="13" t="inlineStr">
        <is>
          <t>30%</t>
        </is>
      </c>
      <c r="I187" s="13" t="inlineStr">
        <is>
          <t>60%</t>
        </is>
      </c>
      <c r="J187" s="13" t="inlineStr">
        <is>
          <t>90%</t>
        </is>
      </c>
      <c r="K187" s="13" t="inlineStr">
        <is>
          <t>120%</t>
        </is>
      </c>
      <c r="L187" s="13" t="inlineStr">
        <is>
          <t>150%</t>
        </is>
      </c>
    </row>
    <row r="188">
      <c r="A188" s="8" t="inlineStr">
        <is>
          <t>Renee</t>
        </is>
      </c>
      <c r="B188" s="8" t="n">
        <v>6</v>
      </c>
      <c r="C188" s="8" t="inlineStr">
        <is>
          <t>Expedition</t>
        </is>
      </c>
      <c r="D188" s="8" t="n">
        <v>3</v>
      </c>
      <c r="E188" s="8" t="inlineStr">
        <is>
          <t>Dreamslice</t>
        </is>
      </c>
      <c r="F188" s="8" t="inlineStr">
        <is>
          <t>All your troops deal more damage to marked targets.</t>
        </is>
      </c>
      <c r="G188" s="8" t="inlineStr">
        <is>
          <t>Damage to marked targets</t>
        </is>
      </c>
      <c r="H188" s="13" t="inlineStr">
        <is>
          <t>15%</t>
        </is>
      </c>
      <c r="I188" s="13" t="inlineStr">
        <is>
          <t>30%</t>
        </is>
      </c>
      <c r="J188" s="13" t="inlineStr">
        <is>
          <t>45%</t>
        </is>
      </c>
      <c r="K188" s="13" t="inlineStr">
        <is>
          <t>60%</t>
        </is>
      </c>
      <c r="L188" s="13" t="inlineStr">
        <is>
          <t>75%</t>
        </is>
      </c>
    </row>
    <row r="189">
      <c r="A189" s="8" t="inlineStr">
        <is>
          <t>Wayne</t>
        </is>
      </c>
      <c r="B189" s="8" t="n">
        <v>6</v>
      </c>
      <c r="C189" s="8" t="inlineStr">
        <is>
          <t>Exploration</t>
        </is>
      </c>
      <c r="D189" s="8" t="n">
        <v>1</v>
      </c>
      <c r="E189" s="8" t="inlineStr">
        <is>
          <t>Hurricane Blowback</t>
        </is>
      </c>
      <c r="F189" s="8" t="inlineStr">
        <is>
          <t>Throws a boomerang that hits enemies in a line, then hits them again on the way back for the same damage.</t>
        </is>
      </c>
      <c r="G189" s="8" t="inlineStr">
        <is>
          <t>Damage each way (x Attack)</t>
        </is>
      </c>
      <c r="H189" s="13" t="inlineStr">
        <is>
          <t>100%</t>
        </is>
      </c>
      <c r="I189" s="13" t="inlineStr">
        <is>
          <t>110%</t>
        </is>
      </c>
      <c r="J189" s="13" t="inlineStr">
        <is>
          <t>120%</t>
        </is>
      </c>
      <c r="K189" s="13" t="inlineStr">
        <is>
          <t>130%</t>
        </is>
      </c>
      <c r="L189" s="13" t="inlineStr">
        <is>
          <t>140%</t>
        </is>
      </c>
    </row>
    <row r="190">
      <c r="A190" s="8" t="inlineStr">
        <is>
          <t>Wayne</t>
        </is>
      </c>
      <c r="B190" s="8" t="n">
        <v>6</v>
      </c>
      <c r="C190" s="8" t="inlineStr">
        <is>
          <t>Exploration</t>
        </is>
      </c>
      <c r="D190" s="8" t="n">
        <v>2</v>
      </c>
      <c r="E190" s="8" t="inlineStr">
        <is>
          <t>Phantom Blitz</t>
        </is>
      </c>
      <c r="F190" s="8" t="inlineStr">
        <is>
          <t>Each normal attack has a chance to trigger another one straight away.</t>
        </is>
      </c>
      <c r="G190" s="8" t="inlineStr">
        <is>
          <t>Extra attack chance</t>
        </is>
      </c>
      <c r="H190" s="13" t="inlineStr">
        <is>
          <t>15%</t>
        </is>
      </c>
      <c r="I190" s="13" t="inlineStr">
        <is>
          <t>20%</t>
        </is>
      </c>
      <c r="J190" s="13" t="inlineStr">
        <is>
          <t>25%</t>
        </is>
      </c>
      <c r="K190" s="13" t="inlineStr">
        <is>
          <t>30%</t>
        </is>
      </c>
      <c r="L190" s="13" t="inlineStr">
        <is>
          <t>35%</t>
        </is>
      </c>
    </row>
    <row r="191">
      <c r="A191" s="8" t="inlineStr">
        <is>
          <t>Wayne</t>
        </is>
      </c>
      <c r="B191" s="8" t="n">
        <v>6</v>
      </c>
      <c r="C191" s="8" t="inlineStr">
        <is>
          <t>Exploration</t>
        </is>
      </c>
      <c r="D191" s="8" t="n">
        <v>3</v>
      </c>
      <c r="E191" s="8" t="inlineStr">
        <is>
          <t>Noon Time</t>
        </is>
      </c>
      <c r="F191" s="8" t="inlineStr">
        <is>
          <t>Adds Crit Rate to his damage.</t>
        </is>
      </c>
      <c r="G191" s="8" t="inlineStr">
        <is>
          <t>Crit Rate</t>
        </is>
      </c>
      <c r="H191" s="13" t="inlineStr">
        <is>
          <t>3%</t>
        </is>
      </c>
      <c r="I191" s="13" t="inlineStr">
        <is>
          <t>6%</t>
        </is>
      </c>
      <c r="J191" s="13" t="inlineStr">
        <is>
          <t>9%</t>
        </is>
      </c>
      <c r="K191" s="13" t="inlineStr">
        <is>
          <t>12%</t>
        </is>
      </c>
      <c r="L191" s="13" t="inlineStr">
        <is>
          <t>15%</t>
        </is>
      </c>
    </row>
    <row r="192">
      <c r="A192" s="8" t="inlineStr">
        <is>
          <t>Wayne</t>
        </is>
      </c>
      <c r="B192" s="8" t="n">
        <v>6</v>
      </c>
      <c r="C192" s="8" t="inlineStr">
        <is>
          <t>Expedition</t>
        </is>
      </c>
      <c r="D192" s="8" t="n">
        <v>1</v>
      </c>
      <c r="E192" s="8" t="inlineStr">
        <is>
          <t>Thunder Strike</t>
        </is>
      </c>
      <c r="F192" s="8" t="inlineStr">
        <is>
          <t>Every 4 turns, all your troops make an extra attack.</t>
        </is>
      </c>
      <c r="G192" s="8" t="inlineStr">
        <is>
          <t>Extra attack damage</t>
        </is>
      </c>
      <c r="H192" s="13" t="inlineStr">
        <is>
          <t>20%</t>
        </is>
      </c>
      <c r="I192" s="13" t="inlineStr">
        <is>
          <t>40%</t>
        </is>
      </c>
      <c r="J192" s="13" t="inlineStr">
        <is>
          <t>60%</t>
        </is>
      </c>
      <c r="K192" s="13" t="inlineStr">
        <is>
          <t>80%</t>
        </is>
      </c>
      <c r="L192" s="13" t="inlineStr">
        <is>
          <t>100%</t>
        </is>
      </c>
    </row>
    <row r="193">
      <c r="A193" s="8" t="inlineStr">
        <is>
          <t>Wayne</t>
        </is>
      </c>
      <c r="B193" s="8" t="n">
        <v>6</v>
      </c>
      <c r="C193" s="8" t="inlineStr">
        <is>
          <t>Expedition</t>
        </is>
      </c>
      <c r="D193" s="8" t="n">
        <v>2</v>
      </c>
      <c r="E193" s="8" t="inlineStr">
        <is>
          <t>Roundabout Hit</t>
        </is>
      </c>
      <c r="F193" s="8" t="inlineStr">
        <is>
          <t>On every other attack his Marksmen deal bonus damage to enemy Lancers and a smaller bonus to enemy Marksmen.</t>
        </is>
      </c>
      <c r="G193" s="8" t="inlineStr">
        <is>
          <t>Bonus vs Lancers</t>
        </is>
      </c>
      <c r="H193" s="13" t="inlineStr">
        <is>
          <t>8%</t>
        </is>
      </c>
      <c r="I193" s="13" t="inlineStr">
        <is>
          <t>16%</t>
        </is>
      </c>
      <c r="J193" s="13" t="inlineStr">
        <is>
          <t>24%</t>
        </is>
      </c>
      <c r="K193" s="13" t="inlineStr">
        <is>
          <t>32%</t>
        </is>
      </c>
      <c r="L193" s="13" t="inlineStr">
        <is>
          <t>40%</t>
        </is>
      </c>
    </row>
    <row r="194">
      <c r="A194" s="8" t="inlineStr">
        <is>
          <t>Wayne</t>
        </is>
      </c>
      <c r="B194" s="8" t="n">
        <v>6</v>
      </c>
      <c r="C194" s="8" t="inlineStr">
        <is>
          <t>Expedition</t>
        </is>
      </c>
      <c r="D194" s="8" t="n">
        <v>2</v>
      </c>
      <c r="E194" s="8" t="inlineStr">
        <is>
          <t>Roundabout Hit</t>
        </is>
      </c>
      <c r="F194" s="8" t="inlineStr">
        <is>
          <t>On every other attack his Marksmen deal bonus damage to enemy Lancers and a smaller bonus to enemy Marksmen.</t>
        </is>
      </c>
      <c r="G194" s="8" t="inlineStr">
        <is>
          <t>Bonus vs Marksmen</t>
        </is>
      </c>
      <c r="H194" s="13" t="inlineStr">
        <is>
          <t>4%</t>
        </is>
      </c>
      <c r="I194" s="13" t="inlineStr">
        <is>
          <t>8%</t>
        </is>
      </c>
      <c r="J194" s="13" t="inlineStr">
        <is>
          <t>12%</t>
        </is>
      </c>
      <c r="K194" s="13" t="inlineStr">
        <is>
          <t>16%</t>
        </is>
      </c>
      <c r="L194" s="13" t="inlineStr">
        <is>
          <t>20%</t>
        </is>
      </c>
    </row>
    <row r="195">
      <c r="A195" s="8" t="inlineStr">
        <is>
          <t>Wayne</t>
        </is>
      </c>
      <c r="B195" s="8" t="n">
        <v>6</v>
      </c>
      <c r="C195" s="8" t="inlineStr">
        <is>
          <t>Expedition</t>
        </is>
      </c>
      <c r="D195" s="8" t="n">
        <v>3</v>
      </c>
      <c r="E195" s="8" t="inlineStr">
        <is>
          <t>Fleet</t>
        </is>
      </c>
      <c r="F195" s="8" t="inlineStr">
        <is>
          <t>Adds Crit Rate to all your troops' attacks.</t>
        </is>
      </c>
      <c r="G195" s="8" t="inlineStr">
        <is>
          <t>Crit Rate</t>
        </is>
      </c>
      <c r="H195" s="13" t="inlineStr">
        <is>
          <t>5%</t>
        </is>
      </c>
      <c r="I195" s="13" t="inlineStr">
        <is>
          <t>10%</t>
        </is>
      </c>
      <c r="J195" s="13" t="inlineStr">
        <is>
          <t>15%</t>
        </is>
      </c>
      <c r="K195" s="13" t="inlineStr">
        <is>
          <t>20%</t>
        </is>
      </c>
      <c r="L195" s="13" t="inlineStr">
        <is>
          <t>25%</t>
        </is>
      </c>
    </row>
    <row r="196">
      <c r="A196" s="8" t="inlineStr">
        <is>
          <t>Wu Ming</t>
        </is>
      </c>
      <c r="B196" s="8" t="n">
        <v>6</v>
      </c>
      <c r="C196" s="8" t="inlineStr">
        <is>
          <t>Exploration</t>
        </is>
      </c>
      <c r="D196" s="8" t="n">
        <v>1</v>
      </c>
      <c r="E196" s="8" t="inlineStr">
        <is>
          <t>Cyclone Barrier</t>
        </is>
      </c>
      <c r="F196" s="8" t="inlineStr">
        <is>
          <t>Spins his staff into a barrier that damages the area around him and makes him invulnerable for 2 seconds.</t>
        </is>
      </c>
      <c r="G196" s="8" t="inlineStr">
        <is>
          <t>Area damage (x Attack)</t>
        </is>
      </c>
      <c r="H196" s="13" t="inlineStr">
        <is>
          <t>100%</t>
        </is>
      </c>
      <c r="I196" s="13" t="inlineStr">
        <is>
          <t>110%</t>
        </is>
      </c>
      <c r="J196" s="13" t="inlineStr">
        <is>
          <t>120%</t>
        </is>
      </c>
      <c r="K196" s="13" t="inlineStr">
        <is>
          <t>130%</t>
        </is>
      </c>
      <c r="L196" s="13" t="inlineStr">
        <is>
          <t>140%</t>
        </is>
      </c>
    </row>
    <row r="197">
      <c r="A197" s="8" t="inlineStr">
        <is>
          <t>Wu Ming</t>
        </is>
      </c>
      <c r="B197" s="8" t="n">
        <v>6</v>
      </c>
      <c r="C197" s="8" t="inlineStr">
        <is>
          <t>Exploration</t>
        </is>
      </c>
      <c r="D197" s="8" t="n">
        <v>2</v>
      </c>
      <c r="E197" s="8" t="inlineStr">
        <is>
          <t>Inner Clarity</t>
        </is>
      </c>
      <c r="F197" s="8" t="inlineStr">
        <is>
          <t>A calm focus that raises his Attack and Defense for 4 seconds.</t>
        </is>
      </c>
      <c r="G197" s="8" t="inlineStr">
        <is>
          <t>Attack bonus</t>
        </is>
      </c>
      <c r="H197" s="13" t="inlineStr">
        <is>
          <t>8%</t>
        </is>
      </c>
      <c r="I197" s="13" t="inlineStr">
        <is>
          <t>12%</t>
        </is>
      </c>
      <c r="J197" s="13" t="inlineStr">
        <is>
          <t>16%</t>
        </is>
      </c>
      <c r="K197" s="13" t="inlineStr">
        <is>
          <t>20%</t>
        </is>
      </c>
      <c r="L197" s="13" t="inlineStr">
        <is>
          <t>24%</t>
        </is>
      </c>
    </row>
    <row r="198">
      <c r="A198" s="8" t="inlineStr">
        <is>
          <t>Wu Ming</t>
        </is>
      </c>
      <c r="B198" s="8" t="n">
        <v>6</v>
      </c>
      <c r="C198" s="8" t="inlineStr">
        <is>
          <t>Exploration</t>
        </is>
      </c>
      <c r="D198" s="8" t="n">
        <v>2</v>
      </c>
      <c r="E198" s="8" t="inlineStr">
        <is>
          <t>Inner Clarity</t>
        </is>
      </c>
      <c r="F198" s="8" t="inlineStr">
        <is>
          <t>A calm focus that raises his Attack and Defense for 4 seconds.</t>
        </is>
      </c>
      <c r="G198" s="8" t="inlineStr">
        <is>
          <t>Defense bonus</t>
        </is>
      </c>
      <c r="H198" s="13" t="inlineStr">
        <is>
          <t>16%</t>
        </is>
      </c>
      <c r="I198" s="13" t="inlineStr">
        <is>
          <t>24%</t>
        </is>
      </c>
      <c r="J198" s="13" t="inlineStr">
        <is>
          <t>32%</t>
        </is>
      </c>
      <c r="K198" s="13" t="inlineStr">
        <is>
          <t>40%</t>
        </is>
      </c>
      <c r="L198" s="13" t="inlineStr">
        <is>
          <t>48%</t>
        </is>
      </c>
    </row>
    <row r="199">
      <c r="A199" s="8" t="inlineStr">
        <is>
          <t>Wu Ming</t>
        </is>
      </c>
      <c r="B199" s="8" t="n">
        <v>6</v>
      </c>
      <c r="C199" s="8" t="inlineStr">
        <is>
          <t>Exploration</t>
        </is>
      </c>
      <c r="D199" s="8" t="n">
        <v>3</v>
      </c>
      <c r="E199" s="8" t="inlineStr">
        <is>
          <t>Remote Impact</t>
        </is>
      </c>
      <c r="F199" s="8" t="inlineStr">
        <is>
          <t>Every normal attack also hits a random enemy for extra damage.</t>
        </is>
      </c>
      <c r="G199" s="8" t="inlineStr">
        <is>
          <t>Extra hit (x Attack)</t>
        </is>
      </c>
      <c r="H199" s="13" t="inlineStr">
        <is>
          <t>20%</t>
        </is>
      </c>
      <c r="I199" s="13" t="inlineStr">
        <is>
          <t>22%</t>
        </is>
      </c>
      <c r="J199" s="13" t="inlineStr">
        <is>
          <t>24%</t>
        </is>
      </c>
      <c r="K199" s="13" t="inlineStr">
        <is>
          <t>26%</t>
        </is>
      </c>
      <c r="L199" s="13" t="inlineStr">
        <is>
          <t>28%</t>
        </is>
      </c>
    </row>
    <row r="200">
      <c r="A200" s="8" t="inlineStr">
        <is>
          <t>Wu Ming</t>
        </is>
      </c>
      <c r="B200" s="8" t="n">
        <v>6</v>
      </c>
      <c r="C200" s="8" t="inlineStr">
        <is>
          <t>Expedition</t>
        </is>
      </c>
      <c r="D200" s="8" t="n">
        <v>1</v>
      </c>
      <c r="E200" s="8" t="inlineStr">
        <is>
          <t>Shadow's Evasion</t>
        </is>
      </c>
      <c r="F200" s="8" t="inlineStr">
        <is>
          <t>Cuts the damage your Infantry take, with a bigger cut against skills than against normal attacks.</t>
        </is>
      </c>
      <c r="G200" s="8" t="inlineStr">
        <is>
          <t>Normal attack reduction</t>
        </is>
      </c>
      <c r="H200" s="13" t="inlineStr">
        <is>
          <t>5%</t>
        </is>
      </c>
      <c r="I200" s="13" t="inlineStr">
        <is>
          <t>10%</t>
        </is>
      </c>
      <c r="J200" s="13" t="inlineStr">
        <is>
          <t>15%</t>
        </is>
      </c>
      <c r="K200" s="13" t="inlineStr">
        <is>
          <t>20%</t>
        </is>
      </c>
      <c r="L200" s="13" t="inlineStr">
        <is>
          <t>25%</t>
        </is>
      </c>
    </row>
    <row r="201">
      <c r="A201" s="8" t="inlineStr">
        <is>
          <t>Wu Ming</t>
        </is>
      </c>
      <c r="B201" s="8" t="n">
        <v>6</v>
      </c>
      <c r="C201" s="8" t="inlineStr">
        <is>
          <t>Expedition</t>
        </is>
      </c>
      <c r="D201" s="8" t="n">
        <v>1</v>
      </c>
      <c r="E201" s="8" t="inlineStr">
        <is>
          <t>Shadow's Evasion</t>
        </is>
      </c>
      <c r="F201" s="8" t="inlineStr">
        <is>
          <t>Cuts the damage your Infantry take, with a bigger cut against skills than against normal attacks.</t>
        </is>
      </c>
      <c r="G201" s="8" t="inlineStr">
        <is>
          <t>Skill damage reduction</t>
        </is>
      </c>
      <c r="H201" s="13" t="inlineStr">
        <is>
          <t>6%</t>
        </is>
      </c>
      <c r="I201" s="13" t="inlineStr">
        <is>
          <t>12%</t>
        </is>
      </c>
      <c r="J201" s="13" t="inlineStr">
        <is>
          <t>18%</t>
        </is>
      </c>
      <c r="K201" s="13" t="inlineStr">
        <is>
          <t>24%</t>
        </is>
      </c>
      <c r="L201" s="13" t="inlineStr">
        <is>
          <t>30%</t>
        </is>
      </c>
    </row>
    <row r="202">
      <c r="A202" s="8" t="inlineStr">
        <is>
          <t>Wu Ming</t>
        </is>
      </c>
      <c r="B202" s="8" t="n">
        <v>6</v>
      </c>
      <c r="C202" s="8" t="inlineStr">
        <is>
          <t>Expedition</t>
        </is>
      </c>
      <c r="D202" s="8" t="n">
        <v>2</v>
      </c>
      <c r="E202" s="8" t="inlineStr">
        <is>
          <t>Crescent Uplift</t>
        </is>
      </c>
      <c r="F202" s="8" t="inlineStr">
        <is>
          <t>Raises the damage your whole squad deals.</t>
        </is>
      </c>
      <c r="G202" s="8" t="inlineStr">
        <is>
          <t>Damage dealt bonus</t>
        </is>
      </c>
      <c r="H202" s="13" t="inlineStr">
        <is>
          <t>4%</t>
        </is>
      </c>
      <c r="I202" s="13" t="inlineStr">
        <is>
          <t>8%</t>
        </is>
      </c>
      <c r="J202" s="13" t="inlineStr">
        <is>
          <t>12%</t>
        </is>
      </c>
      <c r="K202" s="13" t="inlineStr">
        <is>
          <t>16%</t>
        </is>
      </c>
      <c r="L202" s="13" t="inlineStr">
        <is>
          <t>20%</t>
        </is>
      </c>
    </row>
    <row r="203">
      <c r="A203" s="8" t="inlineStr">
        <is>
          <t>Wu Ming</t>
        </is>
      </c>
      <c r="B203" s="8" t="n">
        <v>6</v>
      </c>
      <c r="C203" s="8" t="inlineStr">
        <is>
          <t>Expedition</t>
        </is>
      </c>
      <c r="D203" s="8" t="n">
        <v>3</v>
      </c>
      <c r="E203" s="8" t="inlineStr">
        <is>
          <t>Elemental Resonance</t>
        </is>
      </c>
      <c r="F203" s="8" t="inlineStr">
        <is>
          <t>Raises the damage your troops deal with skills.</t>
        </is>
      </c>
      <c r="G203" s="8" t="inlineStr">
        <is>
          <t>Skill damage bonus</t>
        </is>
      </c>
      <c r="H203" s="13" t="inlineStr">
        <is>
          <t>5%</t>
        </is>
      </c>
      <c r="I203" s="13" t="inlineStr">
        <is>
          <t>10%</t>
        </is>
      </c>
      <c r="J203" s="13" t="inlineStr">
        <is>
          <t>15%</t>
        </is>
      </c>
      <c r="K203" s="13" t="inlineStr">
        <is>
          <t>20%</t>
        </is>
      </c>
      <c r="L203" s="13" t="inlineStr">
        <is>
          <t>25%</t>
        </is>
      </c>
    </row>
    <row r="204">
      <c r="A204" s="8" t="inlineStr">
        <is>
          <t>Bradley</t>
        </is>
      </c>
      <c r="B204" s="8" t="n">
        <v>7</v>
      </c>
      <c r="C204" s="8" t="inlineStr">
        <is>
          <t>Exploration</t>
        </is>
      </c>
      <c r="D204" s="8" t="n">
        <v>1</v>
      </c>
      <c r="E204" s="8" t="inlineStr">
        <is>
          <t>Destructor</t>
        </is>
      </c>
      <c r="F204" s="8" t="inlineStr">
        <is>
          <t>A massive shell that deals heavy area damage.</t>
        </is>
      </c>
      <c r="G204" s="8" t="inlineStr">
        <is>
          <t>Area damage (x Attack)</t>
        </is>
      </c>
      <c r="H204" s="13" t="inlineStr">
        <is>
          <t>300%</t>
        </is>
      </c>
      <c r="I204" s="13" t="inlineStr">
        <is>
          <t>330%</t>
        </is>
      </c>
      <c r="J204" s="13" t="inlineStr">
        <is>
          <t>360%</t>
        </is>
      </c>
      <c r="K204" s="13" t="inlineStr">
        <is>
          <t>390%</t>
        </is>
      </c>
      <c r="L204" s="13" t="inlineStr">
        <is>
          <t>420%</t>
        </is>
      </c>
    </row>
    <row r="205">
      <c r="A205" s="8" t="inlineStr">
        <is>
          <t>Bradley</t>
        </is>
      </c>
      <c r="B205" s="8" t="n">
        <v>7</v>
      </c>
      <c r="C205" s="8" t="inlineStr">
        <is>
          <t>Exploration</t>
        </is>
      </c>
      <c r="D205" s="8" t="n">
        <v>2</v>
      </c>
      <c r="E205" s="8" t="inlineStr">
        <is>
          <t>Incendiary Shell</t>
        </is>
      </c>
      <c r="F205" s="8" t="inlineStr">
        <is>
          <t>An incendiary shell that explodes for area damage and leaves a burning crater that keeps hurting enemies for 2 seconds.</t>
        </is>
      </c>
      <c r="G205" s="8" t="inlineStr">
        <is>
          <t>Explosion (x Attack)</t>
        </is>
      </c>
      <c r="H205" s="13" t="inlineStr">
        <is>
          <t>60%</t>
        </is>
      </c>
      <c r="I205" s="13" t="inlineStr">
        <is>
          <t>66%</t>
        </is>
      </c>
      <c r="J205" s="13" t="inlineStr">
        <is>
          <t>72%</t>
        </is>
      </c>
      <c r="K205" s="13" t="inlineStr">
        <is>
          <t>78%</t>
        </is>
      </c>
      <c r="L205" s="13" t="inlineStr">
        <is>
          <t>84%</t>
        </is>
      </c>
    </row>
    <row r="206">
      <c r="A206" s="8" t="inlineStr">
        <is>
          <t>Bradley</t>
        </is>
      </c>
      <c r="B206" s="8" t="n">
        <v>7</v>
      </c>
      <c r="C206" s="8" t="inlineStr">
        <is>
          <t>Exploration</t>
        </is>
      </c>
      <c r="D206" s="8" t="n">
        <v>2</v>
      </c>
      <c r="E206" s="8" t="inlineStr">
        <is>
          <t>Incendiary Shell</t>
        </is>
      </c>
      <c r="F206" s="8" t="inlineStr">
        <is>
          <t>An incendiary shell that explodes for area damage and leaves a burning crater that keeps hurting enemies for 2 seconds.</t>
        </is>
      </c>
      <c r="G206" s="8" t="inlineStr">
        <is>
          <t>Crater damage per tick (x Attack)</t>
        </is>
      </c>
      <c r="H206" s="13" t="inlineStr">
        <is>
          <t>17%</t>
        </is>
      </c>
      <c r="I206" s="13" t="inlineStr">
        <is>
          <t>19%</t>
        </is>
      </c>
      <c r="J206" s="13" t="inlineStr">
        <is>
          <t>21%</t>
        </is>
      </c>
      <c r="K206" s="13" t="inlineStr">
        <is>
          <t>23%</t>
        </is>
      </c>
      <c r="L206" s="13" t="inlineStr">
        <is>
          <t>25%</t>
        </is>
      </c>
    </row>
    <row r="207">
      <c r="A207" s="8" t="inlineStr">
        <is>
          <t>Bradley</t>
        </is>
      </c>
      <c r="B207" s="8" t="n">
        <v>7</v>
      </c>
      <c r="C207" s="8" t="inlineStr">
        <is>
          <t>Exploration</t>
        </is>
      </c>
      <c r="D207" s="8" t="n">
        <v>3</v>
      </c>
      <c r="E207" s="8" t="inlineStr">
        <is>
          <t>Audacious</t>
        </is>
      </c>
      <c r="F207" s="8" t="inlineStr">
        <is>
          <t>Gives him a permanent Attack boost.</t>
        </is>
      </c>
      <c r="G207" s="8" t="inlineStr">
        <is>
          <t>Attack bonus</t>
        </is>
      </c>
      <c r="H207" s="13" t="inlineStr">
        <is>
          <t>10%</t>
        </is>
      </c>
      <c r="I207" s="13" t="inlineStr">
        <is>
          <t>14%</t>
        </is>
      </c>
      <c r="J207" s="13" t="inlineStr">
        <is>
          <t>18%</t>
        </is>
      </c>
      <c r="K207" s="13" t="inlineStr">
        <is>
          <t>22%</t>
        </is>
      </c>
      <c r="L207" s="13" t="inlineStr">
        <is>
          <t>26%</t>
        </is>
      </c>
    </row>
    <row r="208">
      <c r="A208" s="8" t="inlineStr">
        <is>
          <t>Bradley</t>
        </is>
      </c>
      <c r="B208" s="8" t="n">
        <v>7</v>
      </c>
      <c r="C208" s="8" t="inlineStr">
        <is>
          <t>Expedition</t>
        </is>
      </c>
      <c r="D208" s="8" t="n">
        <v>1</v>
      </c>
      <c r="E208" s="8" t="inlineStr">
        <is>
          <t>Veteran's Might</t>
        </is>
      </c>
      <c r="F208" s="8" t="inlineStr">
        <is>
          <t>Raises the Attack of every troop in your squad.</t>
        </is>
      </c>
      <c r="G208" s="8" t="inlineStr">
        <is>
          <t>Attack bonus</t>
        </is>
      </c>
      <c r="H208" s="13" t="inlineStr">
        <is>
          <t>5%</t>
        </is>
      </c>
      <c r="I208" s="13" t="inlineStr">
        <is>
          <t>10%</t>
        </is>
      </c>
      <c r="J208" s="13" t="inlineStr">
        <is>
          <t>15%</t>
        </is>
      </c>
      <c r="K208" s="13" t="inlineStr">
        <is>
          <t>20%</t>
        </is>
      </c>
      <c r="L208" s="13" t="inlineStr">
        <is>
          <t>25%</t>
        </is>
      </c>
    </row>
    <row r="209">
      <c r="A209" s="8" t="inlineStr">
        <is>
          <t>Bradley</t>
        </is>
      </c>
      <c r="B209" s="8" t="n">
        <v>7</v>
      </c>
      <c r="C209" s="8" t="inlineStr">
        <is>
          <t>Expedition</t>
        </is>
      </c>
      <c r="D209" s="8" t="n">
        <v>2</v>
      </c>
      <c r="E209" s="8" t="inlineStr">
        <is>
          <t>Power Shot</t>
        </is>
      </c>
      <c r="F209" s="8" t="inlineStr">
        <is>
          <t>Boosts all your troops' damage against enemy Lancers and Infantry.</t>
        </is>
      </c>
      <c r="G209" s="8" t="inlineStr">
        <is>
          <t>Damage vs Lancers</t>
        </is>
      </c>
      <c r="H209" s="13" t="inlineStr">
        <is>
          <t>6%</t>
        </is>
      </c>
      <c r="I209" s="13" t="inlineStr">
        <is>
          <t>12%</t>
        </is>
      </c>
      <c r="J209" s="13" t="inlineStr">
        <is>
          <t>18%</t>
        </is>
      </c>
      <c r="K209" s="13" t="inlineStr">
        <is>
          <t>24%</t>
        </is>
      </c>
      <c r="L209" s="13" t="inlineStr">
        <is>
          <t>30%</t>
        </is>
      </c>
    </row>
    <row r="210">
      <c r="A210" s="8" t="inlineStr">
        <is>
          <t>Bradley</t>
        </is>
      </c>
      <c r="B210" s="8" t="n">
        <v>7</v>
      </c>
      <c r="C210" s="8" t="inlineStr">
        <is>
          <t>Expedition</t>
        </is>
      </c>
      <c r="D210" s="8" t="n">
        <v>2</v>
      </c>
      <c r="E210" s="8" t="inlineStr">
        <is>
          <t>Power Shot</t>
        </is>
      </c>
      <c r="F210" s="8" t="inlineStr">
        <is>
          <t>Boosts all your troops' damage against enemy Lancers and Infantry.</t>
        </is>
      </c>
      <c r="G210" s="8" t="inlineStr">
        <is>
          <t>Damage vs Infantry</t>
        </is>
      </c>
      <c r="H210" s="13" t="inlineStr">
        <is>
          <t>5%</t>
        </is>
      </c>
      <c r="I210" s="13" t="inlineStr">
        <is>
          <t>10%</t>
        </is>
      </c>
      <c r="J210" s="13" t="inlineStr">
        <is>
          <t>15%</t>
        </is>
      </c>
      <c r="K210" s="13" t="inlineStr">
        <is>
          <t>20%</t>
        </is>
      </c>
      <c r="L210" s="13" t="inlineStr">
        <is>
          <t>25%</t>
        </is>
      </c>
    </row>
    <row r="211">
      <c r="A211" s="8" t="inlineStr">
        <is>
          <t>Bradley</t>
        </is>
      </c>
      <c r="B211" s="8" t="n">
        <v>7</v>
      </c>
      <c r="C211" s="8" t="inlineStr">
        <is>
          <t>Expedition</t>
        </is>
      </c>
      <c r="D211" s="8" t="n">
        <v>3</v>
      </c>
      <c r="E211" s="8" t="inlineStr">
        <is>
          <t>Tactical Assistance</t>
        </is>
      </c>
      <c r="F211" s="8" t="inlineStr">
        <is>
          <t>Every 4 turns, your squad deals more damage for 2 turns.</t>
        </is>
      </c>
      <c r="G211" s="8" t="inlineStr">
        <is>
          <t>Damage dealt bonus</t>
        </is>
      </c>
      <c r="H211" s="13" t="inlineStr">
        <is>
          <t>6%</t>
        </is>
      </c>
      <c r="I211" s="13" t="inlineStr">
        <is>
          <t>12%</t>
        </is>
      </c>
      <c r="J211" s="13" t="inlineStr">
        <is>
          <t>18%</t>
        </is>
      </c>
      <c r="K211" s="13" t="inlineStr">
        <is>
          <t>24%</t>
        </is>
      </c>
      <c r="L211" s="13" t="inlineStr">
        <is>
          <t>30%</t>
        </is>
      </c>
    </row>
    <row r="212">
      <c r="A212" s="8" t="inlineStr">
        <is>
          <t>Edith</t>
        </is>
      </c>
      <c r="B212" s="8" t="n">
        <v>7</v>
      </c>
      <c r="C212" s="8" t="inlineStr">
        <is>
          <t>Exploration</t>
        </is>
      </c>
      <c r="D212" s="8" t="n">
        <v>1</v>
      </c>
      <c r="E212" s="8" t="inlineStr">
        <is>
          <t>Ironclad Punch</t>
        </is>
      </c>
      <c r="F212" s="8" t="inlineStr">
        <is>
          <t>Her mech Mr. Tin punches enemies in a cone, stunning them for 1 second and boosting his own Attack for 2 seconds.</t>
        </is>
      </c>
      <c r="G212" s="8" t="inlineStr">
        <is>
          <t>Damage (x Attack)</t>
        </is>
      </c>
      <c r="H212" s="13" t="inlineStr">
        <is>
          <t>100%</t>
        </is>
      </c>
      <c r="I212" s="13" t="inlineStr">
        <is>
          <t>110%</t>
        </is>
      </c>
      <c r="J212" s="13" t="inlineStr">
        <is>
          <t>120%</t>
        </is>
      </c>
      <c r="K212" s="13" t="inlineStr">
        <is>
          <t>130%</t>
        </is>
      </c>
      <c r="L212" s="13" t="inlineStr">
        <is>
          <t>140%</t>
        </is>
      </c>
    </row>
    <row r="213">
      <c r="A213" s="8" t="inlineStr">
        <is>
          <t>Edith</t>
        </is>
      </c>
      <c r="B213" s="8" t="n">
        <v>7</v>
      </c>
      <c r="C213" s="8" t="inlineStr">
        <is>
          <t>Exploration</t>
        </is>
      </c>
      <c r="D213" s="8" t="n">
        <v>1</v>
      </c>
      <c r="E213" s="8" t="inlineStr">
        <is>
          <t>Ironclad Punch</t>
        </is>
      </c>
      <c r="F213" s="8" t="inlineStr">
        <is>
          <t>Her mech Mr. Tin punches enemies in a cone, stunning them for 1 second and boosting his own Attack for 2 seconds.</t>
        </is>
      </c>
      <c r="G213" s="8" t="inlineStr">
        <is>
          <t>Self Attack bonus</t>
        </is>
      </c>
      <c r="H213" s="13" t="inlineStr">
        <is>
          <t>20%</t>
        </is>
      </c>
      <c r="I213" s="13" t="inlineStr">
        <is>
          <t>40%</t>
        </is>
      </c>
      <c r="J213" s="13" t="inlineStr">
        <is>
          <t>60%</t>
        </is>
      </c>
      <c r="K213" s="13" t="inlineStr">
        <is>
          <t>80%</t>
        </is>
      </c>
      <c r="L213" s="13" t="inlineStr">
        <is>
          <t>100%</t>
        </is>
      </c>
    </row>
    <row r="214">
      <c r="A214" s="8" t="inlineStr">
        <is>
          <t>Edith</t>
        </is>
      </c>
      <c r="B214" s="8" t="n">
        <v>7</v>
      </c>
      <c r="C214" s="8" t="inlineStr">
        <is>
          <t>Exploration</t>
        </is>
      </c>
      <c r="D214" s="8" t="n">
        <v>2</v>
      </c>
      <c r="E214" s="8" t="inlineStr">
        <is>
          <t>Escape Capsule</t>
        </is>
      </c>
      <c r="F214" s="8" t="inlineStr">
        <is>
          <t>When Mr. Tin reaches 0 Health, Edith escapes in a capsule and the mech explodes, damaging nearby enemies.</t>
        </is>
      </c>
      <c r="G214" s="8" t="inlineStr">
        <is>
          <t>Explosion damage (x Attack)</t>
        </is>
      </c>
      <c r="H214" s="13" t="inlineStr">
        <is>
          <t>200%</t>
        </is>
      </c>
      <c r="I214" s="13" t="inlineStr">
        <is>
          <t>220%</t>
        </is>
      </c>
      <c r="J214" s="13" t="inlineStr">
        <is>
          <t>240%</t>
        </is>
      </c>
      <c r="K214" s="13" t="inlineStr">
        <is>
          <t>260%</t>
        </is>
      </c>
      <c r="L214" s="13" t="inlineStr">
        <is>
          <t>280%</t>
        </is>
      </c>
    </row>
    <row r="215">
      <c r="A215" s="8" t="inlineStr">
        <is>
          <t>Edith</t>
        </is>
      </c>
      <c r="B215" s="8" t="n">
        <v>7</v>
      </c>
      <c r="C215" s="8" t="inlineStr">
        <is>
          <t>Exploration</t>
        </is>
      </c>
      <c r="D215" s="8" t="n">
        <v>3</v>
      </c>
      <c r="E215" s="8" t="inlineStr">
        <is>
          <t>Preemptive Alerts</t>
        </is>
      </c>
      <c r="F215" s="8" t="inlineStr">
        <is>
          <t>Gives Mr. Tin a chance to halve the damage he takes from a hit.</t>
        </is>
      </c>
      <c r="G215" s="8" t="inlineStr">
        <is>
          <t>Chance to halve damage</t>
        </is>
      </c>
      <c r="H215" s="13" t="inlineStr">
        <is>
          <t>10%</t>
        </is>
      </c>
      <c r="I215" s="13" t="inlineStr">
        <is>
          <t>20%</t>
        </is>
      </c>
      <c r="J215" s="13" t="inlineStr">
        <is>
          <t>30%</t>
        </is>
      </c>
      <c r="K215" s="13" t="inlineStr">
        <is>
          <t>40%</t>
        </is>
      </c>
      <c r="L215" s="13" t="inlineStr">
        <is>
          <t>50%</t>
        </is>
      </c>
    </row>
    <row r="216">
      <c r="A216" s="8" t="inlineStr">
        <is>
          <t>Edith</t>
        </is>
      </c>
      <c r="B216" s="8" t="n">
        <v>7</v>
      </c>
      <c r="C216" s="8" t="inlineStr">
        <is>
          <t>Expedition</t>
        </is>
      </c>
      <c r="D216" s="8" t="n">
        <v>1</v>
      </c>
      <c r="E216" s="8" t="inlineStr">
        <is>
          <t>Strategic Balance</t>
        </is>
      </c>
      <c r="F216" s="8" t="inlineStr">
        <is>
          <t>Cuts the damage your Marksmen take and boosts the damage your Lancers deal.</t>
        </is>
      </c>
      <c r="G216" s="8" t="inlineStr">
        <is>
          <t>Marksman damage taken reduction</t>
        </is>
      </c>
      <c r="H216" s="13" t="inlineStr">
        <is>
          <t>4%</t>
        </is>
      </c>
      <c r="I216" s="13" t="inlineStr">
        <is>
          <t>8%</t>
        </is>
      </c>
      <c r="J216" s="13" t="inlineStr">
        <is>
          <t>12%</t>
        </is>
      </c>
      <c r="K216" s="13" t="inlineStr">
        <is>
          <t>16%</t>
        </is>
      </c>
      <c r="L216" s="13" t="inlineStr">
        <is>
          <t>20%</t>
        </is>
      </c>
    </row>
    <row r="217">
      <c r="A217" s="8" t="inlineStr">
        <is>
          <t>Edith</t>
        </is>
      </c>
      <c r="B217" s="8" t="n">
        <v>7</v>
      </c>
      <c r="C217" s="8" t="inlineStr">
        <is>
          <t>Expedition</t>
        </is>
      </c>
      <c r="D217" s="8" t="n">
        <v>1</v>
      </c>
      <c r="E217" s="8" t="inlineStr">
        <is>
          <t>Strategic Balance</t>
        </is>
      </c>
      <c r="F217" s="8" t="inlineStr">
        <is>
          <t>Cuts the damage your Marksmen take and boosts the damage your Lancers deal.</t>
        </is>
      </c>
      <c r="G217" s="8" t="inlineStr">
        <is>
          <t>Lancer damage bonus</t>
        </is>
      </c>
      <c r="H217" s="13" t="inlineStr">
        <is>
          <t>4%</t>
        </is>
      </c>
      <c r="I217" s="13" t="inlineStr">
        <is>
          <t>8%</t>
        </is>
      </c>
      <c r="J217" s="13" t="inlineStr">
        <is>
          <t>12%</t>
        </is>
      </c>
      <c r="K217" s="13" t="inlineStr">
        <is>
          <t>16%</t>
        </is>
      </c>
      <c r="L217" s="13" t="inlineStr">
        <is>
          <t>20%</t>
        </is>
      </c>
    </row>
    <row r="218">
      <c r="A218" s="8" t="inlineStr">
        <is>
          <t>Edith</t>
        </is>
      </c>
      <c r="B218" s="8" t="n">
        <v>7</v>
      </c>
      <c r="C218" s="8" t="inlineStr">
        <is>
          <t>Expedition</t>
        </is>
      </c>
      <c r="D218" s="8" t="n">
        <v>2</v>
      </c>
      <c r="E218" s="8" t="inlineStr">
        <is>
          <t>Ironclad</t>
        </is>
      </c>
      <c r="F218" s="8" t="inlineStr">
        <is>
          <t>Cuts the damage your Infantry take.</t>
        </is>
      </c>
      <c r="G218" s="8" t="inlineStr">
        <is>
          <t>Infantry damage taken reduction</t>
        </is>
      </c>
      <c r="H218" s="13" t="inlineStr">
        <is>
          <t>4%</t>
        </is>
      </c>
      <c r="I218" s="13" t="inlineStr">
        <is>
          <t>8%</t>
        </is>
      </c>
      <c r="J218" s="13" t="inlineStr">
        <is>
          <t>12%</t>
        </is>
      </c>
      <c r="K218" s="13" t="inlineStr">
        <is>
          <t>16%</t>
        </is>
      </c>
      <c r="L218" s="13" t="inlineStr">
        <is>
          <t>20%</t>
        </is>
      </c>
    </row>
    <row r="219">
      <c r="A219" s="8" t="inlineStr">
        <is>
          <t>Edith</t>
        </is>
      </c>
      <c r="B219" s="8" t="n">
        <v>7</v>
      </c>
      <c r="C219" s="8" t="inlineStr">
        <is>
          <t>Expedition</t>
        </is>
      </c>
      <c r="D219" s="8" t="n">
        <v>3</v>
      </c>
      <c r="E219" s="8" t="inlineStr">
        <is>
          <t>Steel Sentinel</t>
        </is>
      </c>
      <c r="F219" s="8" t="inlineStr">
        <is>
          <t>Raises the Health of every troop in your squad.</t>
        </is>
      </c>
      <c r="G219" s="8" t="inlineStr">
        <is>
          <t>Health bonus</t>
        </is>
      </c>
      <c r="H219" s="13" t="inlineStr">
        <is>
          <t>5%</t>
        </is>
      </c>
      <c r="I219" s="13" t="inlineStr">
        <is>
          <t>10%</t>
        </is>
      </c>
      <c r="J219" s="13" t="inlineStr">
        <is>
          <t>15%</t>
        </is>
      </c>
      <c r="K219" s="13" t="inlineStr">
        <is>
          <t>20%</t>
        </is>
      </c>
      <c r="L219" s="13" t="inlineStr">
        <is>
          <t>25%</t>
        </is>
      </c>
    </row>
    <row r="220">
      <c r="A220" s="8" t="inlineStr">
        <is>
          <t>Gordon</t>
        </is>
      </c>
      <c r="B220" s="8" t="n">
        <v>7</v>
      </c>
      <c r="C220" s="8" t="inlineStr">
        <is>
          <t>Exploration</t>
        </is>
      </c>
      <c r="D220" s="8" t="n">
        <v>1</v>
      </c>
      <c r="E220" s="8" t="inlineStr">
        <is>
          <t>Poison Blast</t>
        </is>
      </c>
      <c r="F220" s="8" t="inlineStr">
        <is>
          <t>A toxic mist that damages nearby enemies every half second for 3 seconds.</t>
        </is>
      </c>
      <c r="G220" s="8" t="inlineStr">
        <is>
          <t>Damage per tick (x Attack)</t>
        </is>
      </c>
      <c r="H220" s="13" t="inlineStr">
        <is>
          <t>50%</t>
        </is>
      </c>
      <c r="I220" s="13" t="inlineStr">
        <is>
          <t>55%</t>
        </is>
      </c>
      <c r="J220" s="13" t="inlineStr">
        <is>
          <t>60%</t>
        </is>
      </c>
      <c r="K220" s="13" t="inlineStr">
        <is>
          <t>65%</t>
        </is>
      </c>
      <c r="L220" s="13" t="inlineStr">
        <is>
          <t>70%</t>
        </is>
      </c>
    </row>
    <row r="221">
      <c r="A221" s="8" t="inlineStr">
        <is>
          <t>Gordon</t>
        </is>
      </c>
      <c r="B221" s="8" t="n">
        <v>7</v>
      </c>
      <c r="C221" s="8" t="inlineStr">
        <is>
          <t>Exploration</t>
        </is>
      </c>
      <c r="D221" s="8" t="n">
        <v>2</v>
      </c>
      <c r="E221" s="8" t="inlineStr">
        <is>
          <t>Toxic Molotov</t>
        </is>
      </c>
      <c r="F221" s="8" t="inlineStr">
        <is>
          <t>A poison flask that damages the target over time and makes it take more damage for 2 seconds.</t>
        </is>
      </c>
      <c r="G221" s="8" t="inlineStr">
        <is>
          <t>Damage per tick (x Attack)</t>
        </is>
      </c>
      <c r="H221" s="13" t="inlineStr">
        <is>
          <t>25%</t>
        </is>
      </c>
      <c r="I221" s="13" t="inlineStr">
        <is>
          <t>27.5%</t>
        </is>
      </c>
      <c r="J221" s="13" t="inlineStr">
        <is>
          <t>30%</t>
        </is>
      </c>
      <c r="K221" s="13" t="inlineStr">
        <is>
          <t>32.5%</t>
        </is>
      </c>
      <c r="L221" s="13" t="inlineStr">
        <is>
          <t>35%</t>
        </is>
      </c>
    </row>
    <row r="222">
      <c r="A222" s="8" t="inlineStr">
        <is>
          <t>Gordon</t>
        </is>
      </c>
      <c r="B222" s="8" t="n">
        <v>7</v>
      </c>
      <c r="C222" s="8" t="inlineStr">
        <is>
          <t>Exploration</t>
        </is>
      </c>
      <c r="D222" s="8" t="n">
        <v>2</v>
      </c>
      <c r="E222" s="8" t="inlineStr">
        <is>
          <t>Toxic Molotov</t>
        </is>
      </c>
      <c r="F222" s="8" t="inlineStr">
        <is>
          <t>A poison flask that damages the target over time and makes it take more damage for 2 seconds.</t>
        </is>
      </c>
      <c r="G222" s="8" t="inlineStr">
        <is>
          <t>Extra damage taken</t>
        </is>
      </c>
      <c r="H222" s="13" t="inlineStr">
        <is>
          <t>5%</t>
        </is>
      </c>
      <c r="I222" s="13" t="inlineStr">
        <is>
          <t>10%</t>
        </is>
      </c>
      <c r="J222" s="13" t="inlineStr">
        <is>
          <t>15%</t>
        </is>
      </c>
      <c r="K222" s="13" t="inlineStr">
        <is>
          <t>20%</t>
        </is>
      </c>
      <c r="L222" s="13" t="inlineStr">
        <is>
          <t>25%</t>
        </is>
      </c>
    </row>
    <row r="223">
      <c r="A223" s="8" t="inlineStr">
        <is>
          <t>Gordon</t>
        </is>
      </c>
      <c r="B223" s="8" t="n">
        <v>7</v>
      </c>
      <c r="C223" s="8" t="inlineStr">
        <is>
          <t>Exploration</t>
        </is>
      </c>
      <c r="D223" s="8" t="n">
        <v>3</v>
      </c>
      <c r="E223" s="8" t="inlineStr">
        <is>
          <t>Tolerization</t>
        </is>
      </c>
      <c r="F223" s="8" t="inlineStr">
        <is>
          <t>Boosts his Defense.</t>
        </is>
      </c>
      <c r="G223" s="8" t="inlineStr">
        <is>
          <t>Defense bonus</t>
        </is>
      </c>
      <c r="H223" s="13" t="inlineStr">
        <is>
          <t>25%</t>
        </is>
      </c>
      <c r="I223" s="13" t="inlineStr">
        <is>
          <t>37.5%</t>
        </is>
      </c>
      <c r="J223" s="13" t="inlineStr">
        <is>
          <t>50%</t>
        </is>
      </c>
      <c r="K223" s="13" t="inlineStr">
        <is>
          <t>62.5%</t>
        </is>
      </c>
      <c r="L223" s="13" t="inlineStr">
        <is>
          <t>75%</t>
        </is>
      </c>
    </row>
    <row r="224">
      <c r="A224" s="8" t="inlineStr">
        <is>
          <t>Gordon</t>
        </is>
      </c>
      <c r="B224" s="8" t="n">
        <v>7</v>
      </c>
      <c r="C224" s="8" t="inlineStr">
        <is>
          <t>Expedition</t>
        </is>
      </c>
      <c r="D224" s="8" t="n">
        <v>1</v>
      </c>
      <c r="E224" s="8" t="inlineStr">
        <is>
          <t>Venom Infusion</t>
        </is>
      </c>
      <c r="F224" s="8" t="inlineStr">
        <is>
          <t>Every 2 attacks, his Lancers deal extra damage and poison the target for 1 turn, which weakens the target's damage.</t>
        </is>
      </c>
      <c r="G224" s="8" t="inlineStr">
        <is>
          <t>Lancer bonus damage</t>
        </is>
      </c>
      <c r="H224" s="13" t="inlineStr">
        <is>
          <t>20%</t>
        </is>
      </c>
      <c r="I224" s="13" t="inlineStr">
        <is>
          <t>40%</t>
        </is>
      </c>
      <c r="J224" s="13" t="inlineStr">
        <is>
          <t>60%</t>
        </is>
      </c>
      <c r="K224" s="13" t="inlineStr">
        <is>
          <t>80%</t>
        </is>
      </c>
      <c r="L224" s="13" t="inlineStr">
        <is>
          <t>100%</t>
        </is>
      </c>
    </row>
    <row r="225">
      <c r="A225" s="8" t="inlineStr">
        <is>
          <t>Gordon</t>
        </is>
      </c>
      <c r="B225" s="8" t="n">
        <v>7</v>
      </c>
      <c r="C225" s="8" t="inlineStr">
        <is>
          <t>Expedition</t>
        </is>
      </c>
      <c r="D225" s="8" t="n">
        <v>1</v>
      </c>
      <c r="E225" s="8" t="inlineStr">
        <is>
          <t>Venom Infusion</t>
        </is>
      </c>
      <c r="F225" s="8" t="inlineStr">
        <is>
          <t>Every 2 attacks, his Lancers deal extra damage and poison the target for 1 turn, which weakens the target's damage.</t>
        </is>
      </c>
      <c r="G225" s="8" t="inlineStr">
        <is>
          <t>Poisoned enemy damage reduction</t>
        </is>
      </c>
      <c r="H225" s="13" t="inlineStr">
        <is>
          <t>4%</t>
        </is>
      </c>
      <c r="I225" s="13" t="inlineStr">
        <is>
          <t>8%</t>
        </is>
      </c>
      <c r="J225" s="13" t="inlineStr">
        <is>
          <t>12%</t>
        </is>
      </c>
      <c r="K225" s="13" t="inlineStr">
        <is>
          <t>16%</t>
        </is>
      </c>
      <c r="L225" s="13" t="inlineStr">
        <is>
          <t>20%</t>
        </is>
      </c>
    </row>
    <row r="226">
      <c r="A226" s="8" t="inlineStr">
        <is>
          <t>Gordon</t>
        </is>
      </c>
      <c r="B226" s="8" t="n">
        <v>7</v>
      </c>
      <c r="C226" s="8" t="inlineStr">
        <is>
          <t>Expedition</t>
        </is>
      </c>
      <c r="D226" s="8" t="n">
        <v>2</v>
      </c>
      <c r="E226" s="8" t="inlineStr">
        <is>
          <t>Chemical Terror</t>
        </is>
      </c>
      <c r="F226" s="8" t="inlineStr">
        <is>
          <t>Every 3 turns, boosts his Lancers' damage and weakens all enemy damage for 1 turn.</t>
        </is>
      </c>
      <c r="G226" s="8" t="inlineStr">
        <is>
          <t>Lancer damage bonus</t>
        </is>
      </c>
      <c r="H226" s="13" t="inlineStr">
        <is>
          <t>30%</t>
        </is>
      </c>
      <c r="I226" s="13" t="inlineStr">
        <is>
          <t>60%</t>
        </is>
      </c>
      <c r="J226" s="13" t="inlineStr">
        <is>
          <t>90%</t>
        </is>
      </c>
      <c r="K226" s="13" t="inlineStr">
        <is>
          <t>120%</t>
        </is>
      </c>
      <c r="L226" s="13" t="inlineStr">
        <is>
          <t>150%</t>
        </is>
      </c>
    </row>
    <row r="227">
      <c r="A227" s="8" t="inlineStr">
        <is>
          <t>Gordon</t>
        </is>
      </c>
      <c r="B227" s="8" t="n">
        <v>7</v>
      </c>
      <c r="C227" s="8" t="inlineStr">
        <is>
          <t>Expedition</t>
        </is>
      </c>
      <c r="D227" s="8" t="n">
        <v>2</v>
      </c>
      <c r="E227" s="8" t="inlineStr">
        <is>
          <t>Chemical Terror</t>
        </is>
      </c>
      <c r="F227" s="8" t="inlineStr">
        <is>
          <t>Every 3 turns, boosts his Lancers' damage and weakens all enemy damage for 1 turn.</t>
        </is>
      </c>
      <c r="G227" s="8" t="inlineStr">
        <is>
          <t>Enemy damage reduction</t>
        </is>
      </c>
      <c r="H227" s="13" t="inlineStr">
        <is>
          <t>6%</t>
        </is>
      </c>
      <c r="I227" s="13" t="inlineStr">
        <is>
          <t>12%</t>
        </is>
      </c>
      <c r="J227" s="13" t="inlineStr">
        <is>
          <t>18%</t>
        </is>
      </c>
      <c r="K227" s="13" t="inlineStr">
        <is>
          <t>24%</t>
        </is>
      </c>
      <c r="L227" s="13" t="inlineStr">
        <is>
          <t>30%</t>
        </is>
      </c>
    </row>
    <row r="228">
      <c r="A228" s="8" t="inlineStr">
        <is>
          <t>Gordon</t>
        </is>
      </c>
      <c r="B228" s="8" t="n">
        <v>7</v>
      </c>
      <c r="C228" s="8" t="inlineStr">
        <is>
          <t>Expedition</t>
        </is>
      </c>
      <c r="D228" s="8" t="n">
        <v>3</v>
      </c>
      <c r="E228" s="8" t="inlineStr">
        <is>
          <t>Toxic Release</t>
        </is>
      </c>
      <c r="F228" s="8" t="inlineStr">
        <is>
          <t>Every 4 turns, a toxic fog makes enemy Infantry take more damage and cuts enemy Marksman damage for 2 turns.</t>
        </is>
      </c>
      <c r="G228" s="8" t="inlineStr">
        <is>
          <t>Infantry damage taken (enemy)</t>
        </is>
      </c>
      <c r="H228" s="13" t="inlineStr">
        <is>
          <t>6%</t>
        </is>
      </c>
      <c r="I228" s="13" t="inlineStr">
        <is>
          <t>12%</t>
        </is>
      </c>
      <c r="J228" s="13" t="inlineStr">
        <is>
          <t>18%</t>
        </is>
      </c>
      <c r="K228" s="13" t="inlineStr">
        <is>
          <t>24%</t>
        </is>
      </c>
      <c r="L228" s="13" t="inlineStr">
        <is>
          <t>30%</t>
        </is>
      </c>
    </row>
    <row r="229">
      <c r="A229" s="8" t="inlineStr">
        <is>
          <t>Gordon</t>
        </is>
      </c>
      <c r="B229" s="8" t="n">
        <v>7</v>
      </c>
      <c r="C229" s="8" t="inlineStr">
        <is>
          <t>Expedition</t>
        </is>
      </c>
      <c r="D229" s="8" t="n">
        <v>3</v>
      </c>
      <c r="E229" s="8" t="inlineStr">
        <is>
          <t>Toxic Release</t>
        </is>
      </c>
      <c r="F229" s="8" t="inlineStr">
        <is>
          <t>Every 4 turns, a toxic fog makes enemy Infantry take more damage and cuts enemy Marksman damage for 2 turns.</t>
        </is>
      </c>
      <c r="G229" s="8" t="inlineStr">
        <is>
          <t>Marksman damage dealt reduction</t>
        </is>
      </c>
      <c r="H229" s="13" t="inlineStr">
        <is>
          <t>6%</t>
        </is>
      </c>
      <c r="I229" s="13" t="inlineStr">
        <is>
          <t>12%</t>
        </is>
      </c>
      <c r="J229" s="13" t="inlineStr">
        <is>
          <t>15%</t>
        </is>
      </c>
      <c r="K229" s="13" t="inlineStr">
        <is>
          <t>24%</t>
        </is>
      </c>
      <c r="L229" s="13" t="inlineStr">
        <is>
          <t>30%</t>
        </is>
      </c>
    </row>
    <row r="230">
      <c r="A230" s="8" t="inlineStr">
        <is>
          <t>Gatot</t>
        </is>
      </c>
      <c r="B230" s="8" t="n">
        <v>8</v>
      </c>
      <c r="C230" s="8" t="inlineStr">
        <is>
          <t>Exploration</t>
        </is>
      </c>
      <c r="D230" s="8" t="n">
        <v>1</v>
      </c>
      <c r="E230" s="8" t="inlineStr">
        <is>
          <t>King's Resolve</t>
        </is>
      </c>
      <c r="F230" s="8" t="inlineStr">
        <is>
          <t>Raises a shield equal to a multiple of his Attack that absorbs damage first for 5 seconds.</t>
        </is>
      </c>
      <c r="G230" s="8" t="inlineStr">
        <is>
          <t>Shield (x Attack)</t>
        </is>
      </c>
      <c r="H230" s="13" t="inlineStr">
        <is>
          <t>220%</t>
        </is>
      </c>
      <c r="I230" s="13" t="inlineStr">
        <is>
          <t>260%</t>
        </is>
      </c>
      <c r="J230" s="13" t="inlineStr">
        <is>
          <t>300%</t>
        </is>
      </c>
      <c r="K230" s="13" t="inlineStr">
        <is>
          <t>340%</t>
        </is>
      </c>
      <c r="L230" s="13" t="inlineStr">
        <is>
          <t>380%</t>
        </is>
      </c>
    </row>
    <row r="231">
      <c r="A231" s="8" t="inlineStr">
        <is>
          <t>Gatot</t>
        </is>
      </c>
      <c r="B231" s="8" t="n">
        <v>8</v>
      </c>
      <c r="C231" s="8" t="inlineStr">
        <is>
          <t>Exploration</t>
        </is>
      </c>
      <c r="D231" s="8" t="n">
        <v>2</v>
      </c>
      <c r="E231" s="8" t="inlineStr">
        <is>
          <t>Royal Authority</t>
        </is>
      </c>
      <c r="F231" s="8" t="inlineStr">
        <is>
          <t>Lowers the Attack of enemy heroes and raises his own for every hero he intimidates, for 3 seconds.</t>
        </is>
      </c>
      <c r="G231" s="8" t="inlineStr">
        <is>
          <t>Enemy Attack reduction</t>
        </is>
      </c>
      <c r="H231" s="13" t="inlineStr">
        <is>
          <t>1%</t>
        </is>
      </c>
      <c r="I231" s="13" t="inlineStr">
        <is>
          <t>2%</t>
        </is>
      </c>
      <c r="J231" s="13" t="inlineStr">
        <is>
          <t>3%</t>
        </is>
      </c>
      <c r="K231" s="13" t="inlineStr">
        <is>
          <t>4%</t>
        </is>
      </c>
      <c r="L231" s="13" t="inlineStr">
        <is>
          <t>5%</t>
        </is>
      </c>
    </row>
    <row r="232">
      <c r="A232" s="8" t="inlineStr">
        <is>
          <t>Gatot</t>
        </is>
      </c>
      <c r="B232" s="8" t="n">
        <v>8</v>
      </c>
      <c r="C232" s="8" t="inlineStr">
        <is>
          <t>Exploration</t>
        </is>
      </c>
      <c r="D232" s="8" t="n">
        <v>2</v>
      </c>
      <c r="E232" s="8" t="inlineStr">
        <is>
          <t>Royal Authority</t>
        </is>
      </c>
      <c r="F232" s="8" t="inlineStr">
        <is>
          <t>Lowers the Attack of enemy heroes and raises his own for every hero he intimidates, for 3 seconds.</t>
        </is>
      </c>
      <c r="G232" s="8" t="inlineStr">
        <is>
          <t>Self Attack gain per hero</t>
        </is>
      </c>
      <c r="H232" s="13" t="inlineStr">
        <is>
          <t>1%</t>
        </is>
      </c>
      <c r="I232" s="13" t="inlineStr">
        <is>
          <t>2%</t>
        </is>
      </c>
      <c r="J232" s="13" t="inlineStr">
        <is>
          <t>3%</t>
        </is>
      </c>
      <c r="K232" s="13" t="inlineStr">
        <is>
          <t>4%</t>
        </is>
      </c>
      <c r="L232" s="13" t="inlineStr">
        <is>
          <t>5%</t>
        </is>
      </c>
    </row>
    <row r="233">
      <c r="A233" s="8" t="inlineStr">
        <is>
          <t>Gatot</t>
        </is>
      </c>
      <c r="B233" s="8" t="n">
        <v>8</v>
      </c>
      <c r="C233" s="8" t="inlineStr">
        <is>
          <t>Exploration</t>
        </is>
      </c>
      <c r="D233" s="8" t="n">
        <v>3</v>
      </c>
      <c r="E233" s="8" t="inlineStr">
        <is>
          <t>Regal Dance</t>
        </is>
      </c>
      <c r="F233" s="8" t="inlineStr">
        <is>
          <t>Gives him a chance to dodge normal attacks and adds Crit Rate.</t>
        </is>
      </c>
      <c r="G233" s="8" t="inlineStr">
        <is>
          <t>Dodge chance</t>
        </is>
      </c>
      <c r="H233" s="13" t="inlineStr">
        <is>
          <t>3%</t>
        </is>
      </c>
      <c r="I233" s="13" t="inlineStr">
        <is>
          <t>6%</t>
        </is>
      </c>
      <c r="J233" s="13" t="inlineStr">
        <is>
          <t>9%</t>
        </is>
      </c>
      <c r="K233" s="13" t="inlineStr">
        <is>
          <t>12%</t>
        </is>
      </c>
      <c r="L233" s="13" t="inlineStr">
        <is>
          <t>15%</t>
        </is>
      </c>
    </row>
    <row r="234">
      <c r="A234" s="8" t="inlineStr">
        <is>
          <t>Gatot</t>
        </is>
      </c>
      <c r="B234" s="8" t="n">
        <v>8</v>
      </c>
      <c r="C234" s="8" t="inlineStr">
        <is>
          <t>Exploration</t>
        </is>
      </c>
      <c r="D234" s="8" t="n">
        <v>3</v>
      </c>
      <c r="E234" s="8" t="inlineStr">
        <is>
          <t>Regal Dance</t>
        </is>
      </c>
      <c r="F234" s="8" t="inlineStr">
        <is>
          <t>Gives him a chance to dodge normal attacks and adds Crit Rate.</t>
        </is>
      </c>
      <c r="G234" s="8" t="inlineStr">
        <is>
          <t>Crit Rate</t>
        </is>
      </c>
      <c r="H234" s="13" t="inlineStr">
        <is>
          <t>4%</t>
        </is>
      </c>
      <c r="I234" s="13" t="inlineStr">
        <is>
          <t>8%</t>
        </is>
      </c>
      <c r="J234" s="13" t="inlineStr">
        <is>
          <t>12%</t>
        </is>
      </c>
      <c r="K234" s="13" t="inlineStr">
        <is>
          <t>16%</t>
        </is>
      </c>
      <c r="L234" s="13" t="inlineStr">
        <is>
          <t>20%</t>
        </is>
      </c>
    </row>
    <row r="235">
      <c r="A235" s="8" t="inlineStr">
        <is>
          <t>Gatot</t>
        </is>
      </c>
      <c r="B235" s="8" t="n">
        <v>8</v>
      </c>
      <c r="C235" s="8" t="inlineStr">
        <is>
          <t>Expedition</t>
        </is>
      </c>
      <c r="D235" s="8" t="n">
        <v>1</v>
      </c>
      <c r="E235" s="8" t="inlineStr">
        <is>
          <t>Golden Guard</t>
        </is>
      </c>
      <c r="F235" s="8" t="inlineStr">
        <is>
          <t>Raises the Defense of your Infantry.</t>
        </is>
      </c>
      <c r="G235" s="8" t="inlineStr">
        <is>
          <t>Infantry Defense bonus</t>
        </is>
      </c>
      <c r="H235" s="13" t="inlineStr">
        <is>
          <t>6%</t>
        </is>
      </c>
      <c r="I235" s="13" t="inlineStr">
        <is>
          <t>12%</t>
        </is>
      </c>
      <c r="J235" s="13" t="inlineStr">
        <is>
          <t>18%</t>
        </is>
      </c>
      <c r="K235" s="13" t="inlineStr">
        <is>
          <t>24%</t>
        </is>
      </c>
      <c r="L235" s="13" t="inlineStr">
        <is>
          <t>30%</t>
        </is>
      </c>
    </row>
    <row r="236">
      <c r="A236" s="8" t="inlineStr">
        <is>
          <t>Gatot</t>
        </is>
      </c>
      <c r="B236" s="8" t="n">
        <v>8</v>
      </c>
      <c r="C236" s="8" t="inlineStr">
        <is>
          <t>Expedition</t>
        </is>
      </c>
      <c r="D236" s="8" t="n">
        <v>2</v>
      </c>
      <c r="E236" s="8" t="inlineStr">
        <is>
          <t>King's Bestowal</t>
        </is>
      </c>
      <c r="F236" s="8" t="inlineStr">
        <is>
          <t>Each time your Infantry attack they gain a shield for 1 turn.</t>
        </is>
      </c>
      <c r="G236" s="8" t="inlineStr">
        <is>
          <t>Shield (% of Attack)</t>
        </is>
      </c>
      <c r="H236" s="13" t="inlineStr">
        <is>
          <t>6%</t>
        </is>
      </c>
      <c r="I236" s="13" t="inlineStr">
        <is>
          <t>12%</t>
        </is>
      </c>
      <c r="J236" s="13" t="inlineStr">
        <is>
          <t>18%</t>
        </is>
      </c>
      <c r="K236" s="13" t="inlineStr">
        <is>
          <t>24%</t>
        </is>
      </c>
      <c r="L236" s="13" t="inlineStr">
        <is>
          <t>30%</t>
        </is>
      </c>
    </row>
    <row r="237">
      <c r="A237" s="8" t="inlineStr">
        <is>
          <t>Gatot</t>
        </is>
      </c>
      <c r="B237" s="8" t="n">
        <v>8</v>
      </c>
      <c r="C237" s="8" t="inlineStr">
        <is>
          <t>Expedition</t>
        </is>
      </c>
      <c r="D237" s="8" t="n">
        <v>3</v>
      </c>
      <c r="E237" s="8" t="inlineStr">
        <is>
          <t>Royal Legion</t>
        </is>
      </c>
      <c r="F237" s="8" t="inlineStr">
        <is>
          <t>Weakens every enemy troop by lowering their Attack.</t>
        </is>
      </c>
      <c r="G237" s="8" t="inlineStr">
        <is>
          <t>Enemy Attack reduction</t>
        </is>
      </c>
      <c r="H237" s="13" t="inlineStr">
        <is>
          <t>5%</t>
        </is>
      </c>
      <c r="I237" s="13" t="inlineStr">
        <is>
          <t>10%</t>
        </is>
      </c>
      <c r="J237" s="13" t="inlineStr">
        <is>
          <t>15%</t>
        </is>
      </c>
      <c r="K237" s="13" t="inlineStr">
        <is>
          <t>20%</t>
        </is>
      </c>
      <c r="L237" s="13" t="inlineStr">
        <is>
          <t>25%</t>
        </is>
      </c>
    </row>
    <row r="238">
      <c r="A238" s="8" t="inlineStr">
        <is>
          <t>Hendrik</t>
        </is>
      </c>
      <c r="B238" s="8" t="n">
        <v>8</v>
      </c>
      <c r="C238" s="8" t="inlineStr">
        <is>
          <t>Exploration</t>
        </is>
      </c>
      <c r="D238" s="8" t="n">
        <v>1</v>
      </c>
      <c r="E238" s="8" t="inlineStr">
        <is>
          <t>Song of R'lyeh</t>
        </is>
      </c>
      <c r="F238" s="8" t="inlineStr">
        <is>
          <t>Calls spirits that damage enemies in range and stun them for 1.5 seconds.</t>
        </is>
      </c>
      <c r="G238" s="8" t="inlineStr">
        <is>
          <t>Damage (x Attack)</t>
        </is>
      </c>
      <c r="H238" s="13" t="inlineStr">
        <is>
          <t>220%</t>
        </is>
      </c>
      <c r="I238" s="13" t="inlineStr">
        <is>
          <t>240%</t>
        </is>
      </c>
      <c r="J238" s="13" t="inlineStr">
        <is>
          <t>260%</t>
        </is>
      </c>
      <c r="K238" s="13" t="inlineStr">
        <is>
          <t>280%</t>
        </is>
      </c>
      <c r="L238" s="13" t="inlineStr">
        <is>
          <t>300%</t>
        </is>
      </c>
    </row>
    <row r="239">
      <c r="A239" s="8" t="inlineStr">
        <is>
          <t>Hendrik</t>
        </is>
      </c>
      <c r="B239" s="8" t="n">
        <v>8</v>
      </c>
      <c r="C239" s="8" t="inlineStr">
        <is>
          <t>Exploration</t>
        </is>
      </c>
      <c r="D239" s="8" t="n">
        <v>2</v>
      </c>
      <c r="E239" s="8" t="inlineStr">
        <is>
          <t>Sinking Anchor</t>
        </is>
      </c>
      <c r="F239" s="8" t="inlineStr">
        <is>
          <t>Hurls a heavy anchor at enemies in range.</t>
        </is>
      </c>
      <c r="G239" s="8" t="inlineStr">
        <is>
          <t>Damage (x Attack)</t>
        </is>
      </c>
      <c r="H239" s="13" t="inlineStr">
        <is>
          <t>100%</t>
        </is>
      </c>
      <c r="I239" s="13" t="inlineStr">
        <is>
          <t>110%</t>
        </is>
      </c>
      <c r="J239" s="13" t="inlineStr">
        <is>
          <t>120%</t>
        </is>
      </c>
      <c r="K239" s="13" t="inlineStr">
        <is>
          <t>130%</t>
        </is>
      </c>
      <c r="L239" s="13" t="inlineStr">
        <is>
          <t>140%</t>
        </is>
      </c>
    </row>
    <row r="240">
      <c r="A240" s="8" t="inlineStr">
        <is>
          <t>Hendrik</t>
        </is>
      </c>
      <c r="B240" s="8" t="n">
        <v>8</v>
      </c>
      <c r="C240" s="8" t="inlineStr">
        <is>
          <t>Exploration</t>
        </is>
      </c>
      <c r="D240" s="8" t="n">
        <v>3</v>
      </c>
      <c r="E240" s="8" t="inlineStr">
        <is>
          <t>Lamprey's Kiss</t>
        </is>
      </c>
      <c r="F240" s="8" t="inlineStr">
        <is>
          <t>Deals more damage for each enemy he defeats, up to 15 stacks.</t>
        </is>
      </c>
      <c r="G240" s="8" t="inlineStr">
        <is>
          <t>Damage bonus per kill</t>
        </is>
      </c>
      <c r="H240" s="13" t="inlineStr">
        <is>
          <t>0.5%</t>
        </is>
      </c>
      <c r="I240" s="13" t="inlineStr">
        <is>
          <t>1%</t>
        </is>
      </c>
      <c r="J240" s="13" t="inlineStr">
        <is>
          <t>1.5%</t>
        </is>
      </c>
      <c r="K240" s="13" t="inlineStr">
        <is>
          <t>2%</t>
        </is>
      </c>
      <c r="L240" s="13" t="inlineStr">
        <is>
          <t>2.5%</t>
        </is>
      </c>
    </row>
    <row r="241">
      <c r="A241" s="8" t="inlineStr">
        <is>
          <t>Hendrik</t>
        </is>
      </c>
      <c r="B241" s="8" t="n">
        <v>8</v>
      </c>
      <c r="C241" s="8" t="inlineStr">
        <is>
          <t>Expedition</t>
        </is>
      </c>
      <c r="D241" s="8" t="n">
        <v>1</v>
      </c>
      <c r="E241" s="8" t="inlineStr">
        <is>
          <t>Worm's Ravage</t>
        </is>
      </c>
      <c r="F241" s="8" t="inlineStr">
        <is>
          <t>Lowers the Defense of every enemy troop.</t>
        </is>
      </c>
      <c r="G241" s="8" t="inlineStr">
        <is>
          <t>Enemy Defense reduction</t>
        </is>
      </c>
      <c r="H241" s="13" t="inlineStr">
        <is>
          <t>5%</t>
        </is>
      </c>
      <c r="I241" s="13" t="inlineStr">
        <is>
          <t>10%</t>
        </is>
      </c>
      <c r="J241" s="13" t="inlineStr">
        <is>
          <t>15%</t>
        </is>
      </c>
      <c r="K241" s="13" t="inlineStr">
        <is>
          <t>20%</t>
        </is>
      </c>
      <c r="L241" s="13" t="inlineStr">
        <is>
          <t>25%</t>
        </is>
      </c>
    </row>
    <row r="242">
      <c r="A242" s="8" t="inlineStr">
        <is>
          <t>Hendrik</t>
        </is>
      </c>
      <c r="B242" s="8" t="n">
        <v>8</v>
      </c>
      <c r="C242" s="8" t="inlineStr">
        <is>
          <t>Expedition</t>
        </is>
      </c>
      <c r="D242" s="8" t="n">
        <v>2</v>
      </c>
      <c r="E242" s="8" t="inlineStr">
        <is>
          <t>Armor of Barnacles</t>
        </is>
      </c>
      <c r="F242" s="8" t="inlineStr">
        <is>
          <t>Every 4 turns, your troops gain extra Defense for 2 turns.</t>
        </is>
      </c>
      <c r="G242" s="8" t="inlineStr">
        <is>
          <t>Defense bonus</t>
        </is>
      </c>
      <c r="H242" s="13" t="inlineStr">
        <is>
          <t>6%</t>
        </is>
      </c>
      <c r="I242" s="13" t="inlineStr">
        <is>
          <t>12%</t>
        </is>
      </c>
      <c r="J242" s="13" t="inlineStr">
        <is>
          <t>18%</t>
        </is>
      </c>
      <c r="K242" s="13" t="inlineStr">
        <is>
          <t>24%</t>
        </is>
      </c>
      <c r="L242" s="13" t="inlineStr">
        <is>
          <t>30%</t>
        </is>
      </c>
    </row>
    <row r="243">
      <c r="A243" s="8" t="inlineStr">
        <is>
          <t>Hendrik</t>
        </is>
      </c>
      <c r="B243" s="8" t="n">
        <v>8</v>
      </c>
      <c r="C243" s="8" t="inlineStr">
        <is>
          <t>Expedition</t>
        </is>
      </c>
      <c r="D243" s="8" t="n">
        <v>3</v>
      </c>
      <c r="E243" s="8" t="inlineStr">
        <is>
          <t>Dragon's Heir</t>
        </is>
      </c>
      <c r="F243" s="8" t="inlineStr">
        <is>
          <t>Every 3 turns, your Marksmen team up with abyssal spirits to hit all enemies.</t>
        </is>
      </c>
      <c r="G243" s="8" t="inlineStr">
        <is>
          <t>Damage to all enemies</t>
        </is>
      </c>
      <c r="H243" s="13" t="inlineStr">
        <is>
          <t>8%</t>
        </is>
      </c>
      <c r="I243" s="13" t="inlineStr">
        <is>
          <t>16%</t>
        </is>
      </c>
      <c r="J243" s="13" t="inlineStr">
        <is>
          <t>24%</t>
        </is>
      </c>
      <c r="K243" s="13" t="inlineStr">
        <is>
          <t>32%</t>
        </is>
      </c>
      <c r="L243" s="13" t="inlineStr">
        <is>
          <t>40%</t>
        </is>
      </c>
    </row>
    <row r="244">
      <c r="A244" s="8" t="inlineStr">
        <is>
          <t>Sonya</t>
        </is>
      </c>
      <c r="B244" s="8" t="n">
        <v>8</v>
      </c>
      <c r="C244" s="8" t="inlineStr">
        <is>
          <t>Exploration</t>
        </is>
      </c>
      <c r="D244" s="8" t="n">
        <v>1</v>
      </c>
      <c r="E244" s="8" t="inlineStr">
        <is>
          <t>Extreme Cold</t>
        </is>
      </c>
      <c r="F244" s="8" t="inlineStr">
        <is>
          <t>Freezes a target for 1.5 seconds and damages it and nearby enemies.</t>
        </is>
      </c>
      <c r="G244" s="8" t="inlineStr">
        <is>
          <t>Area damage (x Attack)</t>
        </is>
      </c>
      <c r="H244" s="13" t="inlineStr">
        <is>
          <t>220%</t>
        </is>
      </c>
      <c r="I244" s="13" t="inlineStr">
        <is>
          <t>240%</t>
        </is>
      </c>
      <c r="J244" s="13" t="inlineStr">
        <is>
          <t>260%</t>
        </is>
      </c>
      <c r="K244" s="13" t="inlineStr">
        <is>
          <t>280%</t>
        </is>
      </c>
      <c r="L244" s="13" t="inlineStr">
        <is>
          <t>300%</t>
        </is>
      </c>
    </row>
    <row r="245">
      <c r="A245" s="8" t="inlineStr">
        <is>
          <t>Sonya</t>
        </is>
      </c>
      <c r="B245" s="8" t="n">
        <v>8</v>
      </c>
      <c r="C245" s="8" t="inlineStr">
        <is>
          <t>Exploration</t>
        </is>
      </c>
      <c r="D245" s="8" t="n">
        <v>2</v>
      </c>
      <c r="E245" s="8" t="inlineStr">
        <is>
          <t>Frozen Bomb</t>
        </is>
      </c>
      <c r="F245" s="8" t="inlineStr">
        <is>
          <t>Hits an enemy with a frozen bomb and slows nearby enemies' Attack Speed by 50% for 3 seconds.</t>
        </is>
      </c>
      <c r="G245" s="8" t="inlineStr">
        <is>
          <t>Damage (x Attack)</t>
        </is>
      </c>
      <c r="H245" s="13" t="inlineStr">
        <is>
          <t>100%</t>
        </is>
      </c>
      <c r="I245" s="13" t="inlineStr">
        <is>
          <t>110%</t>
        </is>
      </c>
      <c r="J245" s="13" t="inlineStr">
        <is>
          <t>120%</t>
        </is>
      </c>
      <c r="K245" s="13" t="inlineStr">
        <is>
          <t>130%</t>
        </is>
      </c>
      <c r="L245" s="13" t="inlineStr">
        <is>
          <t>140%</t>
        </is>
      </c>
    </row>
    <row r="246">
      <c r="A246" s="8" t="inlineStr">
        <is>
          <t>Sonya</t>
        </is>
      </c>
      <c r="B246" s="8" t="n">
        <v>8</v>
      </c>
      <c r="C246" s="8" t="inlineStr">
        <is>
          <t>Exploration</t>
        </is>
      </c>
      <c r="D246" s="8" t="n">
        <v>3</v>
      </c>
      <c r="E246" s="8" t="inlineStr">
        <is>
          <t>Money-Hungry</t>
        </is>
      </c>
      <c r="F246" s="8" t="inlineStr">
        <is>
          <t>Gives her an Attack boost.</t>
        </is>
      </c>
      <c r="G246" s="8" t="inlineStr">
        <is>
          <t>Attack bonus</t>
        </is>
      </c>
      <c r="H246" s="13" t="inlineStr">
        <is>
          <t>10%</t>
        </is>
      </c>
      <c r="I246" s="13" t="inlineStr">
        <is>
          <t>15%</t>
        </is>
      </c>
      <c r="J246" s="13" t="inlineStr">
        <is>
          <t>20%</t>
        </is>
      </c>
      <c r="K246" s="13" t="inlineStr">
        <is>
          <t>25%</t>
        </is>
      </c>
      <c r="L246" s="13" t="inlineStr">
        <is>
          <t>30%</t>
        </is>
      </c>
    </row>
    <row r="247">
      <c r="A247" s="8" t="inlineStr">
        <is>
          <t>Sonya</t>
        </is>
      </c>
      <c r="B247" s="8" t="n">
        <v>8</v>
      </c>
      <c r="C247" s="8" t="inlineStr">
        <is>
          <t>Expedition</t>
        </is>
      </c>
      <c r="D247" s="8" t="n">
        <v>1</v>
      </c>
      <c r="E247" s="8" t="inlineStr">
        <is>
          <t>Treasure Hunter</t>
        </is>
      </c>
      <c r="F247" s="8" t="inlineStr">
        <is>
          <t>Raises the damage dealt by all your troops.</t>
        </is>
      </c>
      <c r="G247" s="8" t="inlineStr">
        <is>
          <t>Damage dealt bonus</t>
        </is>
      </c>
      <c r="H247" s="13" t="inlineStr">
        <is>
          <t>4%</t>
        </is>
      </c>
      <c r="I247" s="13" t="inlineStr">
        <is>
          <t>8%</t>
        </is>
      </c>
      <c r="J247" s="13" t="inlineStr">
        <is>
          <t>12%</t>
        </is>
      </c>
      <c r="K247" s="13" t="inlineStr">
        <is>
          <t>16%</t>
        </is>
      </c>
      <c r="L247" s="13" t="inlineStr">
        <is>
          <t>20%</t>
        </is>
      </c>
    </row>
    <row r="248">
      <c r="A248" s="8" t="inlineStr">
        <is>
          <t>Sonya</t>
        </is>
      </c>
      <c r="B248" s="8" t="n">
        <v>8</v>
      </c>
      <c r="C248" s="8" t="inlineStr">
        <is>
          <t>Expedition</t>
        </is>
      </c>
      <c r="D248" s="8" t="n">
        <v>2</v>
      </c>
      <c r="E248" s="8" t="inlineStr">
        <is>
          <t>Bounty Temptation</t>
        </is>
      </c>
      <c r="F248" s="8" t="inlineStr">
        <is>
          <t>Every 2 attacks her Lancers deal extra damage, and the whole squad gets an Attack boost for 1 turn.</t>
        </is>
      </c>
      <c r="G248" s="8" t="inlineStr">
        <is>
          <t>Lancer bonus damage</t>
        </is>
      </c>
      <c r="H248" s="13" t="inlineStr">
        <is>
          <t>15%</t>
        </is>
      </c>
      <c r="I248" s="13" t="inlineStr">
        <is>
          <t>30%</t>
        </is>
      </c>
      <c r="J248" s="13" t="inlineStr">
        <is>
          <t>45%</t>
        </is>
      </c>
      <c r="K248" s="13" t="inlineStr">
        <is>
          <t>60%</t>
        </is>
      </c>
      <c r="L248" s="13" t="inlineStr">
        <is>
          <t>75%</t>
        </is>
      </c>
    </row>
    <row r="249">
      <c r="A249" s="8" t="inlineStr">
        <is>
          <t>Sonya</t>
        </is>
      </c>
      <c r="B249" s="8" t="n">
        <v>8</v>
      </c>
      <c r="C249" s="8" t="inlineStr">
        <is>
          <t>Expedition</t>
        </is>
      </c>
      <c r="D249" s="8" t="n">
        <v>2</v>
      </c>
      <c r="E249" s="8" t="inlineStr">
        <is>
          <t>Bounty Temptation</t>
        </is>
      </c>
      <c r="F249" s="8" t="inlineStr">
        <is>
          <t>Every 2 attacks her Lancers deal extra damage, and the whole squad gets an Attack boost for 1 turn.</t>
        </is>
      </c>
      <c r="G249" s="8" t="inlineStr">
        <is>
          <t>Attack bonus</t>
        </is>
      </c>
      <c r="H249" s="13" t="inlineStr">
        <is>
          <t>5%</t>
        </is>
      </c>
      <c r="I249" s="13" t="inlineStr">
        <is>
          <t>10%</t>
        </is>
      </c>
      <c r="J249" s="13" t="inlineStr">
        <is>
          <t>15%</t>
        </is>
      </c>
      <c r="K249" s="13" t="inlineStr">
        <is>
          <t>20%</t>
        </is>
      </c>
      <c r="L249" s="13" t="inlineStr">
        <is>
          <t>25%</t>
        </is>
      </c>
    </row>
    <row r="250">
      <c r="A250" s="8" t="inlineStr">
        <is>
          <t>Sonya</t>
        </is>
      </c>
      <c r="B250" s="8" t="n">
        <v>8</v>
      </c>
      <c r="C250" s="8" t="inlineStr">
        <is>
          <t>Expedition</t>
        </is>
      </c>
      <c r="D250" s="8" t="n">
        <v>3</v>
      </c>
      <c r="E250" s="8" t="inlineStr">
        <is>
          <t>Torrential Impact</t>
        </is>
      </c>
      <c r="F250" s="8" t="inlineStr">
        <is>
          <t>Every 5 turns her Lancers launch a surprise raid that deals big damage and stuns the target for 1 turn.</t>
        </is>
      </c>
      <c r="G250" s="8" t="inlineStr">
        <is>
          <t>Raid damage</t>
        </is>
      </c>
      <c r="H250" s="13" t="inlineStr">
        <is>
          <t>50%</t>
        </is>
      </c>
      <c r="I250" s="13" t="inlineStr">
        <is>
          <t>100%</t>
        </is>
      </c>
      <c r="J250" s="13" t="inlineStr">
        <is>
          <t>150%</t>
        </is>
      </c>
      <c r="K250" s="13" t="inlineStr">
        <is>
          <t>200%</t>
        </is>
      </c>
      <c r="L250" s="13" t="inlineStr">
        <is>
          <t>250%</t>
        </is>
      </c>
    </row>
    <row r="251">
      <c r="A251" s="8" t="inlineStr">
        <is>
          <t>Fred</t>
        </is>
      </c>
      <c r="B251" s="8" t="n">
        <v>9</v>
      </c>
      <c r="C251" s="8" t="inlineStr">
        <is>
          <t>Exploration</t>
        </is>
      </c>
      <c r="D251" s="8" t="n">
        <v>1</v>
      </c>
      <c r="E251" s="8" t="inlineStr">
        <is>
          <t>Acid Rain</t>
        </is>
      </c>
      <c r="F251" s="8" t="inlineStr">
        <is>
          <t>Acid rain damages the target area every half second and makes enemies take 15% more damage for 3 seconds.</t>
        </is>
      </c>
      <c r="G251" s="8" t="inlineStr">
        <is>
          <t>Damage per tick (x Attack)</t>
        </is>
      </c>
      <c r="H251" s="13" t="inlineStr">
        <is>
          <t>60%</t>
        </is>
      </c>
      <c r="I251" s="13" t="inlineStr">
        <is>
          <t>66%</t>
        </is>
      </c>
      <c r="J251" s="13" t="inlineStr">
        <is>
          <t>72%</t>
        </is>
      </c>
      <c r="K251" s="13" t="inlineStr">
        <is>
          <t>78%</t>
        </is>
      </c>
      <c r="L251" s="13" t="inlineStr">
        <is>
          <t>84%</t>
        </is>
      </c>
    </row>
    <row r="252">
      <c r="A252" s="8" t="inlineStr">
        <is>
          <t>Fred</t>
        </is>
      </c>
      <c r="B252" s="8" t="n">
        <v>9</v>
      </c>
      <c r="C252" s="8" t="inlineStr">
        <is>
          <t>Exploration</t>
        </is>
      </c>
      <c r="D252" s="8" t="n">
        <v>2</v>
      </c>
      <c r="E252" s="8" t="inlineStr">
        <is>
          <t>Water Cannon</t>
        </is>
      </c>
      <c r="F252" s="8" t="inlineStr">
        <is>
          <t>A water blast that strips the target's combat bonuses and deals heavy damage.</t>
        </is>
      </c>
      <c r="G252" s="8" t="inlineStr">
        <is>
          <t>Damage (x Attack)</t>
        </is>
      </c>
      <c r="H252" s="13" t="inlineStr">
        <is>
          <t>200%</t>
        </is>
      </c>
      <c r="I252" s="13" t="inlineStr">
        <is>
          <t>220%</t>
        </is>
      </c>
      <c r="J252" s="13" t="inlineStr">
        <is>
          <t>240%</t>
        </is>
      </c>
      <c r="K252" s="13" t="inlineStr">
        <is>
          <t>260%</t>
        </is>
      </c>
      <c r="L252" s="13" t="inlineStr">
        <is>
          <t>280%</t>
        </is>
      </c>
    </row>
    <row r="253">
      <c r="A253" s="8" t="inlineStr">
        <is>
          <t>Fred</t>
        </is>
      </c>
      <c r="B253" s="8" t="n">
        <v>9</v>
      </c>
      <c r="C253" s="8" t="inlineStr">
        <is>
          <t>Exploration</t>
        </is>
      </c>
      <c r="D253" s="8" t="n">
        <v>3</v>
      </c>
      <c r="E253" s="8" t="inlineStr">
        <is>
          <t>Perfect Responder</t>
        </is>
      </c>
      <c r="F253" s="8" t="inlineStr">
        <is>
          <t>Under 50% Health he gets a boost to both Attack and Defense.</t>
        </is>
      </c>
      <c r="G253" s="8" t="inlineStr">
        <is>
          <t>Attack bonus</t>
        </is>
      </c>
      <c r="H253" s="13" t="inlineStr">
        <is>
          <t>8%</t>
        </is>
      </c>
      <c r="I253" s="13" t="inlineStr">
        <is>
          <t>12%</t>
        </is>
      </c>
      <c r="J253" s="13" t="inlineStr">
        <is>
          <t>16%</t>
        </is>
      </c>
      <c r="K253" s="13" t="inlineStr">
        <is>
          <t>20%</t>
        </is>
      </c>
      <c r="L253" s="13" t="inlineStr">
        <is>
          <t>24%</t>
        </is>
      </c>
    </row>
    <row r="254">
      <c r="A254" s="8" t="inlineStr">
        <is>
          <t>Fred</t>
        </is>
      </c>
      <c r="B254" s="8" t="n">
        <v>9</v>
      </c>
      <c r="C254" s="8" t="inlineStr">
        <is>
          <t>Exploration</t>
        </is>
      </c>
      <c r="D254" s="8" t="n">
        <v>3</v>
      </c>
      <c r="E254" s="8" t="inlineStr">
        <is>
          <t>Perfect Responder</t>
        </is>
      </c>
      <c r="F254" s="8" t="inlineStr">
        <is>
          <t>Under 50% Health he gets a boost to both Attack and Defense.</t>
        </is>
      </c>
      <c r="G254" s="8" t="inlineStr">
        <is>
          <t>Defense bonus</t>
        </is>
      </c>
      <c r="H254" s="13" t="inlineStr">
        <is>
          <t>25%</t>
        </is>
      </c>
      <c r="I254" s="13" t="inlineStr">
        <is>
          <t>37.5%</t>
        </is>
      </c>
      <c r="J254" s="13" t="inlineStr">
        <is>
          <t>50%</t>
        </is>
      </c>
      <c r="K254" s="13" t="inlineStr">
        <is>
          <t>62.5%</t>
        </is>
      </c>
      <c r="L254" s="13" t="inlineStr">
        <is>
          <t>75%</t>
        </is>
      </c>
    </row>
    <row r="255">
      <c r="A255" s="8" t="inlineStr">
        <is>
          <t>Fred</t>
        </is>
      </c>
      <c r="B255" s="8" t="n">
        <v>9</v>
      </c>
      <c r="C255" s="8" t="inlineStr">
        <is>
          <t>Expedition</t>
        </is>
      </c>
      <c r="D255" s="8" t="n">
        <v>1</v>
      </c>
      <c r="E255" s="8" t="inlineStr">
        <is>
          <t>Hydraulic Suppression</t>
        </is>
      </c>
      <c r="F255" s="8" t="inlineStr">
        <is>
          <t>Lowers the Lethality of every enemy troop.</t>
        </is>
      </c>
      <c r="G255" s="8" t="inlineStr">
        <is>
          <t>Enemy Lethality reduction</t>
        </is>
      </c>
      <c r="H255" s="13" t="inlineStr">
        <is>
          <t>4%</t>
        </is>
      </c>
      <c r="I255" s="13" t="inlineStr">
        <is>
          <t>8%</t>
        </is>
      </c>
      <c r="J255" s="13" t="inlineStr">
        <is>
          <t>12%</t>
        </is>
      </c>
      <c r="K255" s="13" t="inlineStr">
        <is>
          <t>16%</t>
        </is>
      </c>
      <c r="L255" s="13" t="inlineStr">
        <is>
          <t>20%</t>
        </is>
      </c>
    </row>
    <row r="256">
      <c r="A256" s="8" t="inlineStr">
        <is>
          <t>Fred</t>
        </is>
      </c>
      <c r="B256" s="8" t="n">
        <v>9</v>
      </c>
      <c r="C256" s="8" t="inlineStr">
        <is>
          <t>Expedition</t>
        </is>
      </c>
      <c r="D256" s="8" t="n">
        <v>2</v>
      </c>
      <c r="E256" s="8" t="inlineStr">
        <is>
          <t>Acidification</t>
        </is>
      </c>
      <c r="F256" s="8" t="inlineStr">
        <is>
          <t>Makes enemy Infantry take more damage.</t>
        </is>
      </c>
      <c r="G256" s="8" t="inlineStr">
        <is>
          <t>Extra damage taken (enemy Infantry)</t>
        </is>
      </c>
      <c r="H256" s="13" t="inlineStr">
        <is>
          <t>4%</t>
        </is>
      </c>
      <c r="I256" s="13" t="inlineStr">
        <is>
          <t>8%</t>
        </is>
      </c>
      <c r="J256" s="13" t="inlineStr">
        <is>
          <t>12%</t>
        </is>
      </c>
      <c r="K256" s="13" t="inlineStr">
        <is>
          <t>16%</t>
        </is>
      </c>
      <c r="L256" s="13" t="inlineStr">
        <is>
          <t>20%</t>
        </is>
      </c>
    </row>
    <row r="257">
      <c r="A257" s="8" t="inlineStr">
        <is>
          <t>Fred</t>
        </is>
      </c>
      <c r="B257" s="8" t="n">
        <v>9</v>
      </c>
      <c r="C257" s="8" t="inlineStr">
        <is>
          <t>Expedition</t>
        </is>
      </c>
      <c r="D257" s="8" t="n">
        <v>3</v>
      </c>
      <c r="E257" s="8" t="inlineStr">
        <is>
          <t>Floodbringer</t>
        </is>
      </c>
      <c r="F257" s="8" t="inlineStr">
        <is>
          <t>Every 4 strikes his Lancers deal extra damage, and enemy damage drops on the next turn.</t>
        </is>
      </c>
      <c r="G257" s="8" t="inlineStr">
        <is>
          <t>Lancer bonus damage</t>
        </is>
      </c>
      <c r="H257" s="13" t="inlineStr">
        <is>
          <t>40%</t>
        </is>
      </c>
      <c r="I257" s="13" t="inlineStr">
        <is>
          <t>80%</t>
        </is>
      </c>
      <c r="J257" s="13" t="inlineStr">
        <is>
          <t>120%</t>
        </is>
      </c>
      <c r="K257" s="13" t="inlineStr">
        <is>
          <t>160%</t>
        </is>
      </c>
      <c r="L257" s="13" t="inlineStr">
        <is>
          <t>200%</t>
        </is>
      </c>
    </row>
    <row r="258">
      <c r="A258" s="8" t="inlineStr">
        <is>
          <t>Fred</t>
        </is>
      </c>
      <c r="B258" s="8" t="n">
        <v>9</v>
      </c>
      <c r="C258" s="8" t="inlineStr">
        <is>
          <t>Expedition</t>
        </is>
      </c>
      <c r="D258" s="8" t="n">
        <v>3</v>
      </c>
      <c r="E258" s="8" t="inlineStr">
        <is>
          <t>Floodbringer</t>
        </is>
      </c>
      <c r="F258" s="8" t="inlineStr">
        <is>
          <t>Every 4 strikes his Lancers deal extra damage, and enemy damage drops on the next turn.</t>
        </is>
      </c>
      <c r="G258" s="8" t="inlineStr">
        <is>
          <t>Enemy damage reduction</t>
        </is>
      </c>
      <c r="H258" s="13" t="inlineStr">
        <is>
          <t>4%</t>
        </is>
      </c>
      <c r="I258" s="13" t="inlineStr">
        <is>
          <t>8%</t>
        </is>
      </c>
      <c r="J258" s="13" t="inlineStr">
        <is>
          <t>12%</t>
        </is>
      </c>
      <c r="K258" s="13" t="inlineStr">
        <is>
          <t>16%</t>
        </is>
      </c>
      <c r="L258" s="13" t="inlineStr">
        <is>
          <t>20%</t>
        </is>
      </c>
    </row>
    <row r="259">
      <c r="A259" s="8" t="inlineStr">
        <is>
          <t>Magnus</t>
        </is>
      </c>
      <c r="B259" s="8" t="n">
        <v>9</v>
      </c>
      <c r="C259" s="8" t="inlineStr">
        <is>
          <t>Exploration</t>
        </is>
      </c>
      <c r="D259" s="8" t="n">
        <v>1</v>
      </c>
      <c r="E259" s="8" t="inlineStr">
        <is>
          <t>Frozen Fury</t>
        </is>
      </c>
      <c r="F259" s="8" t="inlineStr">
        <is>
          <t>Whirls twin axes, taunting nearby enemies into attacking him while damaging them every half second for 3 seconds.</t>
        </is>
      </c>
      <c r="G259" s="8" t="inlineStr">
        <is>
          <t>Damage per tick (x Attack)</t>
        </is>
      </c>
      <c r="H259" s="13" t="inlineStr">
        <is>
          <t>60%</t>
        </is>
      </c>
      <c r="I259" s="13" t="inlineStr">
        <is>
          <t>66%</t>
        </is>
      </c>
      <c r="J259" s="13" t="inlineStr">
        <is>
          <t>72%</t>
        </is>
      </c>
      <c r="K259" s="13" t="inlineStr">
        <is>
          <t>78%</t>
        </is>
      </c>
      <c r="L259" s="13" t="inlineStr">
        <is>
          <t>84%</t>
        </is>
      </c>
    </row>
    <row r="260">
      <c r="A260" s="8" t="inlineStr">
        <is>
          <t>Magnus</t>
        </is>
      </c>
      <c r="B260" s="8" t="n">
        <v>9</v>
      </c>
      <c r="C260" s="8" t="inlineStr">
        <is>
          <t>Exploration</t>
        </is>
      </c>
      <c r="D260" s="8" t="n">
        <v>2</v>
      </c>
      <c r="E260" s="8" t="inlineStr">
        <is>
          <t>Wind Tomahawk</t>
        </is>
      </c>
      <c r="F260" s="8" t="inlineStr">
        <is>
          <t>Throws an axe at a hero, then the wound keeps bleeding for 3 more seconds.</t>
        </is>
      </c>
      <c r="G260" s="8" t="inlineStr">
        <is>
          <t>Hit damage (x Attack)</t>
        </is>
      </c>
      <c r="H260" s="13" t="inlineStr">
        <is>
          <t>100%</t>
        </is>
      </c>
      <c r="I260" s="13" t="inlineStr">
        <is>
          <t>110%</t>
        </is>
      </c>
      <c r="J260" s="13" t="inlineStr">
        <is>
          <t>120%</t>
        </is>
      </c>
      <c r="K260" s="13" t="inlineStr">
        <is>
          <t>130%</t>
        </is>
      </c>
      <c r="L260" s="13" t="inlineStr">
        <is>
          <t>140%</t>
        </is>
      </c>
    </row>
    <row r="261">
      <c r="A261" s="8" t="inlineStr">
        <is>
          <t>Magnus</t>
        </is>
      </c>
      <c r="B261" s="8" t="n">
        <v>9</v>
      </c>
      <c r="C261" s="8" t="inlineStr">
        <is>
          <t>Exploration</t>
        </is>
      </c>
      <c r="D261" s="8" t="n">
        <v>2</v>
      </c>
      <c r="E261" s="8" t="inlineStr">
        <is>
          <t>Wind Tomahawk</t>
        </is>
      </c>
      <c r="F261" s="8" t="inlineStr">
        <is>
          <t>Throws an axe at a hero, then the wound keeps bleeding for 3 more seconds.</t>
        </is>
      </c>
      <c r="G261" s="8" t="inlineStr">
        <is>
          <t>Bleed damage (x Attack)</t>
        </is>
      </c>
      <c r="H261" s="13" t="inlineStr">
        <is>
          <t>50%</t>
        </is>
      </c>
      <c r="I261" s="13" t="inlineStr">
        <is>
          <t>55%</t>
        </is>
      </c>
      <c r="J261" s="13" t="inlineStr">
        <is>
          <t>60%</t>
        </is>
      </c>
      <c r="K261" s="13" t="inlineStr">
        <is>
          <t>65%</t>
        </is>
      </c>
      <c r="L261" s="13" t="inlineStr">
        <is>
          <t>70%</t>
        </is>
      </c>
    </row>
    <row r="262">
      <c r="A262" s="8" t="inlineStr">
        <is>
          <t>Magnus</t>
        </is>
      </c>
      <c r="B262" s="8" t="n">
        <v>9</v>
      </c>
      <c r="C262" s="8" t="inlineStr">
        <is>
          <t>Exploration</t>
        </is>
      </c>
      <c r="D262" s="8" t="n">
        <v>3</v>
      </c>
      <c r="E262" s="8" t="inlineStr">
        <is>
          <t>Sunderer</t>
        </is>
      </c>
      <c r="F262" s="8" t="inlineStr">
        <is>
          <t>Normal attacks have a 30% chance to break armour: extra damage and lowered Defense for 2 seconds.</t>
        </is>
      </c>
      <c r="G262" s="8" t="inlineStr">
        <is>
          <t>Extra damage (x Attack)</t>
        </is>
      </c>
      <c r="H262" s="13" t="inlineStr">
        <is>
          <t>50%</t>
        </is>
      </c>
      <c r="I262" s="13" t="inlineStr">
        <is>
          <t>55%</t>
        </is>
      </c>
      <c r="J262" s="13" t="inlineStr">
        <is>
          <t>60%</t>
        </is>
      </c>
      <c r="K262" s="13" t="inlineStr">
        <is>
          <t>65%</t>
        </is>
      </c>
      <c r="L262" s="13" t="inlineStr">
        <is>
          <t>70%</t>
        </is>
      </c>
    </row>
    <row r="263">
      <c r="A263" s="8" t="inlineStr">
        <is>
          <t>Magnus</t>
        </is>
      </c>
      <c r="B263" s="8" t="n">
        <v>9</v>
      </c>
      <c r="C263" s="8" t="inlineStr">
        <is>
          <t>Exploration</t>
        </is>
      </c>
      <c r="D263" s="8" t="n">
        <v>3</v>
      </c>
      <c r="E263" s="8" t="inlineStr">
        <is>
          <t>Sunderer</t>
        </is>
      </c>
      <c r="F263" s="8" t="inlineStr">
        <is>
          <t>Normal attacks have a 30% chance to break armour: extra damage and lowered Defense for 2 seconds.</t>
        </is>
      </c>
      <c r="G263" s="8" t="inlineStr">
        <is>
          <t>Defense reduction</t>
        </is>
      </c>
      <c r="H263" s="13" t="inlineStr">
        <is>
          <t>5%</t>
        </is>
      </c>
      <c r="I263" s="13" t="inlineStr">
        <is>
          <t>10%</t>
        </is>
      </c>
      <c r="J263" s="13" t="inlineStr">
        <is>
          <t>15%</t>
        </is>
      </c>
      <c r="K263" s="13" t="inlineStr">
        <is>
          <t>20%</t>
        </is>
      </c>
      <c r="L263" s="13" t="inlineStr">
        <is>
          <t>25%</t>
        </is>
      </c>
    </row>
    <row r="264">
      <c r="A264" s="8" t="inlineStr">
        <is>
          <t>Magnus</t>
        </is>
      </c>
      <c r="B264" s="8" t="n">
        <v>9</v>
      </c>
      <c r="C264" s="8" t="inlineStr">
        <is>
          <t>Expedition</t>
        </is>
      </c>
      <c r="D264" s="8" t="n">
        <v>1</v>
      </c>
      <c r="E264" s="8" t="inlineStr">
        <is>
          <t>Rapacious</t>
        </is>
      </c>
      <c r="F264" s="8" t="inlineStr">
        <is>
          <t>Raises the Attack of every troop in your squad.</t>
        </is>
      </c>
      <c r="G264" s="8" t="inlineStr">
        <is>
          <t>Attack bonus</t>
        </is>
      </c>
      <c r="H264" s="13" t="inlineStr">
        <is>
          <t>5%</t>
        </is>
      </c>
      <c r="I264" s="13" t="inlineStr">
        <is>
          <t>10%</t>
        </is>
      </c>
      <c r="J264" s="13" t="inlineStr">
        <is>
          <t>15%</t>
        </is>
      </c>
      <c r="K264" s="13" t="inlineStr">
        <is>
          <t>20%</t>
        </is>
      </c>
      <c r="L264" s="13" t="inlineStr">
        <is>
          <t>25%</t>
        </is>
      </c>
    </row>
    <row r="265">
      <c r="A265" s="8" t="inlineStr">
        <is>
          <t>Magnus</t>
        </is>
      </c>
      <c r="B265" s="8" t="n">
        <v>9</v>
      </c>
      <c r="C265" s="8" t="inlineStr">
        <is>
          <t>Expedition</t>
        </is>
      </c>
      <c r="D265" s="8" t="n">
        <v>2</v>
      </c>
      <c r="E265" s="8" t="inlineStr">
        <is>
          <t>Iron Phalanx</t>
        </is>
      </c>
      <c r="F265" s="8" t="inlineStr">
        <is>
          <t>Your Infantry have a 40% chance to gain Defense for 1 turn when they attack.</t>
        </is>
      </c>
      <c r="G265" s="8" t="inlineStr">
        <is>
          <t>Defense bonus on proc</t>
        </is>
      </c>
      <c r="H265" s="13" t="inlineStr">
        <is>
          <t>10%</t>
        </is>
      </c>
      <c r="I265" s="13" t="inlineStr">
        <is>
          <t>20%</t>
        </is>
      </c>
      <c r="J265" s="13" t="inlineStr">
        <is>
          <t>30%</t>
        </is>
      </c>
      <c r="K265" s="13" t="inlineStr">
        <is>
          <t>40%</t>
        </is>
      </c>
      <c r="L265" s="13" t="inlineStr">
        <is>
          <t>50%</t>
        </is>
      </c>
    </row>
    <row r="266">
      <c r="A266" s="8" t="inlineStr">
        <is>
          <t>Magnus</t>
        </is>
      </c>
      <c r="B266" s="8" t="n">
        <v>9</v>
      </c>
      <c r="C266" s="8" t="inlineStr">
        <is>
          <t>Expedition</t>
        </is>
      </c>
      <c r="D266" s="8" t="n">
        <v>3</v>
      </c>
      <c r="E266" s="8" t="inlineStr">
        <is>
          <t>Iceman</t>
        </is>
      </c>
      <c r="F266" s="8" t="inlineStr">
        <is>
          <t>Your Infantry take less damage and your Marksmen deal more.</t>
        </is>
      </c>
      <c r="G266" s="8" t="inlineStr">
        <is>
          <t>Infantry damage taken reduction</t>
        </is>
      </c>
      <c r="H266" s="13" t="inlineStr">
        <is>
          <t>2%</t>
        </is>
      </c>
      <c r="I266" s="13" t="inlineStr">
        <is>
          <t>4%</t>
        </is>
      </c>
      <c r="J266" s="13" t="inlineStr">
        <is>
          <t>6%</t>
        </is>
      </c>
      <c r="K266" s="13" t="inlineStr">
        <is>
          <t>8%</t>
        </is>
      </c>
      <c r="L266" s="13" t="inlineStr">
        <is>
          <t>10%</t>
        </is>
      </c>
    </row>
    <row r="267">
      <c r="A267" s="8" t="inlineStr">
        <is>
          <t>Magnus</t>
        </is>
      </c>
      <c r="B267" s="8" t="n">
        <v>9</v>
      </c>
      <c r="C267" s="8" t="inlineStr">
        <is>
          <t>Expedition</t>
        </is>
      </c>
      <c r="D267" s="8" t="n">
        <v>3</v>
      </c>
      <c r="E267" s="8" t="inlineStr">
        <is>
          <t>Iceman</t>
        </is>
      </c>
      <c r="F267" s="8" t="inlineStr">
        <is>
          <t>Your Infantry take less damage and your Marksmen deal more.</t>
        </is>
      </c>
      <c r="G267" s="8" t="inlineStr">
        <is>
          <t>Marksman damage bonus</t>
        </is>
      </c>
      <c r="H267" s="13" t="inlineStr">
        <is>
          <t>2%</t>
        </is>
      </c>
      <c r="I267" s="13" t="inlineStr">
        <is>
          <t>4%</t>
        </is>
      </c>
      <c r="J267" s="13" t="inlineStr">
        <is>
          <t>6%</t>
        </is>
      </c>
      <c r="K267" s="13" t="inlineStr">
        <is>
          <t>8%</t>
        </is>
      </c>
      <c r="L267" s="13" t="inlineStr">
        <is>
          <t>10%</t>
        </is>
      </c>
    </row>
    <row r="268">
      <c r="A268" s="8" t="inlineStr">
        <is>
          <t>Xura</t>
        </is>
      </c>
      <c r="B268" s="8" t="n">
        <v>9</v>
      </c>
      <c r="C268" s="8" t="inlineStr">
        <is>
          <t>Exploration</t>
        </is>
      </c>
      <c r="D268" s="8" t="n">
        <v>1</v>
      </c>
      <c r="E268" s="8" t="inlineStr">
        <is>
          <t>Life Dance</t>
        </is>
      </c>
      <c r="F268" s="8" t="inlineStr">
        <is>
          <t>A healing dance that restores all friendly heroes every second and cuts damage they take by 50% for 3 seconds. She is immune to control effects while dancing.</t>
        </is>
      </c>
      <c r="G268" s="8" t="inlineStr">
        <is>
          <t>Heal per second (x Attack)</t>
        </is>
      </c>
      <c r="H268" s="13" t="inlineStr">
        <is>
          <t>20%</t>
        </is>
      </c>
      <c r="I268" s="13" t="inlineStr">
        <is>
          <t>40%</t>
        </is>
      </c>
      <c r="J268" s="13" t="inlineStr">
        <is>
          <t>60%</t>
        </is>
      </c>
      <c r="K268" s="13" t="inlineStr">
        <is>
          <t>80%</t>
        </is>
      </c>
      <c r="L268" s="13" t="inlineStr">
        <is>
          <t>100%</t>
        </is>
      </c>
    </row>
    <row r="269">
      <c r="A269" s="8" t="inlineStr">
        <is>
          <t>Xura</t>
        </is>
      </c>
      <c r="B269" s="8" t="n">
        <v>9</v>
      </c>
      <c r="C269" s="8" t="inlineStr">
        <is>
          <t>Exploration</t>
        </is>
      </c>
      <c r="D269" s="8" t="n">
        <v>2</v>
      </c>
      <c r="E269" s="8" t="inlineStr">
        <is>
          <t>Sporebind</t>
        </is>
      </c>
      <c r="F269" s="8" t="inlineStr">
        <is>
          <t>Infects the target with a spore that deals damage every time the target attacks, for 3 seconds.</t>
        </is>
      </c>
      <c r="G269" s="8" t="inlineStr">
        <is>
          <t>Damage per target attack (x Attack)</t>
        </is>
      </c>
      <c r="H269" s="13" t="inlineStr">
        <is>
          <t>100%</t>
        </is>
      </c>
      <c r="I269" s="13" t="inlineStr">
        <is>
          <t>110%</t>
        </is>
      </c>
      <c r="J269" s="13" t="inlineStr">
        <is>
          <t>120%</t>
        </is>
      </c>
      <c r="K269" s="13" t="inlineStr">
        <is>
          <t>130%</t>
        </is>
      </c>
      <c r="L269" s="13" t="inlineStr">
        <is>
          <t>140%</t>
        </is>
      </c>
    </row>
    <row r="270">
      <c r="A270" s="8" t="inlineStr">
        <is>
          <t>Xura</t>
        </is>
      </c>
      <c r="B270" s="8" t="n">
        <v>9</v>
      </c>
      <c r="C270" s="8" t="inlineStr">
        <is>
          <t>Exploration</t>
        </is>
      </c>
      <c r="D270" s="8" t="n">
        <v>3</v>
      </c>
      <c r="E270" s="8" t="inlineStr">
        <is>
          <t>Numbing Dart</t>
        </is>
      </c>
      <c r="F270" s="8" t="inlineStr">
        <is>
          <t>Boosts her Attack, and each dart has a 20% chance to hold the target in place for 1 second.</t>
        </is>
      </c>
      <c r="G270" s="8" t="inlineStr">
        <is>
          <t>Attack bonus</t>
        </is>
      </c>
      <c r="H270" s="13" t="inlineStr">
        <is>
          <t>4%</t>
        </is>
      </c>
      <c r="I270" s="13" t="inlineStr">
        <is>
          <t>6%</t>
        </is>
      </c>
      <c r="J270" s="13" t="inlineStr">
        <is>
          <t>8%</t>
        </is>
      </c>
      <c r="K270" s="13" t="inlineStr">
        <is>
          <t>10%</t>
        </is>
      </c>
      <c r="L270" s="13" t="inlineStr">
        <is>
          <t>12%</t>
        </is>
      </c>
    </row>
    <row r="271">
      <c r="A271" s="8" t="inlineStr">
        <is>
          <t>Xura</t>
        </is>
      </c>
      <c r="B271" s="8" t="n">
        <v>9</v>
      </c>
      <c r="C271" s="8" t="inlineStr">
        <is>
          <t>Expedition</t>
        </is>
      </c>
      <c r="D271" s="8" t="n">
        <v>1</v>
      </c>
      <c r="E271" s="8" t="inlineStr">
        <is>
          <t>Fungal Fog</t>
        </is>
      </c>
      <c r="F271" s="8" t="inlineStr">
        <is>
          <t>Reduces the damage your troops take.</t>
        </is>
      </c>
      <c r="G271" s="8" t="inlineStr">
        <is>
          <t>Damage taken reduction</t>
        </is>
      </c>
      <c r="H271" s="13" t="inlineStr">
        <is>
          <t>4%</t>
        </is>
      </c>
      <c r="I271" s="13" t="inlineStr">
        <is>
          <t>8%</t>
        </is>
      </c>
      <c r="J271" s="13" t="inlineStr">
        <is>
          <t>12%</t>
        </is>
      </c>
      <c r="K271" s="13" t="inlineStr">
        <is>
          <t>16%</t>
        </is>
      </c>
      <c r="L271" s="13" t="inlineStr">
        <is>
          <t>20%</t>
        </is>
      </c>
    </row>
    <row r="272">
      <c r="A272" s="8" t="inlineStr">
        <is>
          <t>Xura</t>
        </is>
      </c>
      <c r="B272" s="8" t="n">
        <v>9</v>
      </c>
      <c r="C272" s="8" t="inlineStr">
        <is>
          <t>Expedition</t>
        </is>
      </c>
      <c r="D272" s="8" t="n">
        <v>2</v>
      </c>
      <c r="E272" s="8" t="inlineStr">
        <is>
          <t>Piercing Arrow</t>
        </is>
      </c>
      <c r="F272" s="8" t="inlineStr">
        <is>
          <t>Every 2 strikes her Marksmen deal extra damage and make the target take more damage for 1 turn.</t>
        </is>
      </c>
      <c r="G272" s="8" t="inlineStr">
        <is>
          <t>Marksman bonus damage</t>
        </is>
      </c>
      <c r="H272" s="13" t="inlineStr">
        <is>
          <t>20%</t>
        </is>
      </c>
      <c r="I272" s="13" t="inlineStr">
        <is>
          <t>40%</t>
        </is>
      </c>
      <c r="J272" s="13" t="inlineStr">
        <is>
          <t>60%</t>
        </is>
      </c>
      <c r="K272" s="13" t="inlineStr">
        <is>
          <t>80%</t>
        </is>
      </c>
      <c r="L272" s="13" t="inlineStr">
        <is>
          <t>100%</t>
        </is>
      </c>
    </row>
    <row r="273">
      <c r="A273" s="8" t="inlineStr">
        <is>
          <t>Xura</t>
        </is>
      </c>
      <c r="B273" s="8" t="n">
        <v>9</v>
      </c>
      <c r="C273" s="8" t="inlineStr">
        <is>
          <t>Expedition</t>
        </is>
      </c>
      <c r="D273" s="8" t="n">
        <v>2</v>
      </c>
      <c r="E273" s="8" t="inlineStr">
        <is>
          <t>Piercing Arrow</t>
        </is>
      </c>
      <c r="F273" s="8" t="inlineStr">
        <is>
          <t>Every 2 strikes her Marksmen deal extra damage and make the target take more damage for 1 turn.</t>
        </is>
      </c>
      <c r="G273" s="8" t="inlineStr">
        <is>
          <t>Extra damage taken</t>
        </is>
      </c>
      <c r="H273" s="13" t="inlineStr">
        <is>
          <t>5%</t>
        </is>
      </c>
      <c r="I273" s="13" t="inlineStr">
        <is>
          <t>10%</t>
        </is>
      </c>
      <c r="J273" s="13" t="inlineStr">
        <is>
          <t>15%</t>
        </is>
      </c>
      <c r="K273" s="13" t="inlineStr">
        <is>
          <t>20%</t>
        </is>
      </c>
      <c r="L273" s="13" t="inlineStr">
        <is>
          <t>25%</t>
        </is>
      </c>
    </row>
    <row r="274">
      <c r="A274" s="8" t="inlineStr">
        <is>
          <t>Xura</t>
        </is>
      </c>
      <c r="B274" s="8" t="n">
        <v>9</v>
      </c>
      <c r="C274" s="8" t="inlineStr">
        <is>
          <t>Expedition</t>
        </is>
      </c>
      <c r="D274" s="8" t="n">
        <v>3</v>
      </c>
      <c r="E274" s="8" t="inlineStr">
        <is>
          <t>Unorthodoxy</t>
        </is>
      </c>
      <c r="F274" s="8" t="inlineStr">
        <is>
          <t>Your Marksmen deal more damage and take less.</t>
        </is>
      </c>
      <c r="G274" s="8" t="inlineStr">
        <is>
          <t>Marksman damage bonus</t>
        </is>
      </c>
      <c r="H274" s="13" t="inlineStr">
        <is>
          <t>3%</t>
        </is>
      </c>
      <c r="I274" s="13" t="inlineStr">
        <is>
          <t>6%</t>
        </is>
      </c>
      <c r="J274" s="13" t="inlineStr">
        <is>
          <t>9%</t>
        </is>
      </c>
      <c r="K274" s="13" t="inlineStr">
        <is>
          <t>12%</t>
        </is>
      </c>
      <c r="L274" s="13" t="inlineStr">
        <is>
          <t>15%</t>
        </is>
      </c>
    </row>
    <row r="275">
      <c r="A275" s="8" t="inlineStr">
        <is>
          <t>Xura</t>
        </is>
      </c>
      <c r="B275" s="8" t="n">
        <v>9</v>
      </c>
      <c r="C275" s="8" t="inlineStr">
        <is>
          <t>Expedition</t>
        </is>
      </c>
      <c r="D275" s="8" t="n">
        <v>3</v>
      </c>
      <c r="E275" s="8" t="inlineStr">
        <is>
          <t>Unorthodoxy</t>
        </is>
      </c>
      <c r="F275" s="8" t="inlineStr">
        <is>
          <t>Your Marksmen deal more damage and take less.</t>
        </is>
      </c>
      <c r="G275" s="8" t="inlineStr">
        <is>
          <t>Marksman damage taken reduction</t>
        </is>
      </c>
      <c r="H275" s="13" t="inlineStr">
        <is>
          <t>2%</t>
        </is>
      </c>
      <c r="I275" s="13" t="inlineStr">
        <is>
          <t>4%</t>
        </is>
      </c>
      <c r="J275" s="13" t="inlineStr">
        <is>
          <t>6%</t>
        </is>
      </c>
      <c r="K275" s="13" t="inlineStr">
        <is>
          <t>8%</t>
        </is>
      </c>
      <c r="L275" s="13" t="inlineStr">
        <is>
          <t>10%</t>
        </is>
      </c>
    </row>
    <row r="276">
      <c r="A276" s="8" t="inlineStr">
        <is>
          <t>Blanchette</t>
        </is>
      </c>
      <c r="B276" s="8" t="n">
        <v>10</v>
      </c>
      <c r="C276" s="8" t="inlineStr">
        <is>
          <t>Exploration</t>
        </is>
      </c>
      <c r="D276" s="8" t="n">
        <v>1</v>
      </c>
      <c r="E276" s="8" t="inlineStr">
        <is>
          <t>Triple Blunderbuss</t>
        </is>
      </c>
      <c r="F276" s="8" t="inlineStr">
        <is>
          <t>Her blunderbuss hits 3 targets at once and stops them healing for 5 seconds.</t>
        </is>
      </c>
      <c r="G276" s="8" t="inlineStr">
        <is>
          <t>Damage (x Attack)</t>
        </is>
      </c>
      <c r="H276" s="13" t="inlineStr">
        <is>
          <t>200%</t>
        </is>
      </c>
      <c r="I276" s="13" t="inlineStr">
        <is>
          <t>220%</t>
        </is>
      </c>
      <c r="J276" s="13" t="inlineStr">
        <is>
          <t>240%</t>
        </is>
      </c>
      <c r="K276" s="13" t="inlineStr">
        <is>
          <t>260%</t>
        </is>
      </c>
      <c r="L276" s="13" t="inlineStr">
        <is>
          <t>280%</t>
        </is>
      </c>
    </row>
    <row r="277">
      <c r="A277" s="8" t="inlineStr">
        <is>
          <t>Blanchette</t>
        </is>
      </c>
      <c r="B277" s="8" t="n">
        <v>10</v>
      </c>
      <c r="C277" s="8" t="inlineStr">
        <is>
          <t>Exploration</t>
        </is>
      </c>
      <c r="D277" s="8" t="n">
        <v>2</v>
      </c>
      <c r="E277" s="8" t="inlineStr">
        <is>
          <t>Scattershot</t>
        </is>
      </c>
      <c r="F277" s="8" t="inlineStr">
        <is>
          <t>A shot of crystal shards that deals area damage.</t>
        </is>
      </c>
      <c r="G277" s="8" t="inlineStr">
        <is>
          <t>Area damage (x Attack)</t>
        </is>
      </c>
      <c r="H277" s="13" t="inlineStr">
        <is>
          <t>100%</t>
        </is>
      </c>
      <c r="I277" s="13" t="inlineStr">
        <is>
          <t>110%</t>
        </is>
      </c>
      <c r="J277" s="13" t="inlineStr">
        <is>
          <t>120%</t>
        </is>
      </c>
      <c r="K277" s="13" t="inlineStr">
        <is>
          <t>130%</t>
        </is>
      </c>
      <c r="L277" s="13" t="inlineStr">
        <is>
          <t>140%</t>
        </is>
      </c>
    </row>
    <row r="278">
      <c r="A278" s="8" t="inlineStr">
        <is>
          <t>Blanchette</t>
        </is>
      </c>
      <c r="B278" s="8" t="n">
        <v>10</v>
      </c>
      <c r="C278" s="8" t="inlineStr">
        <is>
          <t>Exploration</t>
        </is>
      </c>
      <c r="D278" s="8" t="n">
        <v>3</v>
      </c>
      <c r="E278" s="8" t="inlineStr">
        <is>
          <t>Red Pursuit</t>
        </is>
      </c>
      <c r="F278" s="8" t="inlineStr">
        <is>
          <t>She deals more damage the lower the target's Health gets.</t>
        </is>
      </c>
      <c r="G278" s="8" t="inlineStr">
        <is>
          <t>Max damage bonus</t>
        </is>
      </c>
      <c r="H278" s="13" t="inlineStr">
        <is>
          <t>10%</t>
        </is>
      </c>
      <c r="I278" s="13" t="inlineStr">
        <is>
          <t>20%</t>
        </is>
      </c>
      <c r="J278" s="13" t="inlineStr">
        <is>
          <t>30%</t>
        </is>
      </c>
      <c r="K278" s="13" t="inlineStr">
        <is>
          <t>40%</t>
        </is>
      </c>
      <c r="L278" s="13" t="inlineStr">
        <is>
          <t>50%</t>
        </is>
      </c>
    </row>
    <row r="279">
      <c r="A279" s="8" t="inlineStr">
        <is>
          <t>Blanchette</t>
        </is>
      </c>
      <c r="B279" s="8" t="n">
        <v>10</v>
      </c>
      <c r="C279" s="8" t="inlineStr">
        <is>
          <t>Expedition</t>
        </is>
      </c>
      <c r="D279" s="8" t="n">
        <v>1</v>
      </c>
      <c r="E279" s="8" t="inlineStr">
        <is>
          <t>Armed to the Teeth</t>
        </is>
      </c>
      <c r="F279" s="8" t="inlineStr">
        <is>
          <t>Raises the Lethality of every troop in your squad.</t>
        </is>
      </c>
      <c r="G279" s="8" t="inlineStr">
        <is>
          <t>Lethality bonus</t>
        </is>
      </c>
      <c r="H279" s="13" t="inlineStr">
        <is>
          <t>5%</t>
        </is>
      </c>
      <c r="I279" s="13" t="inlineStr">
        <is>
          <t>10%</t>
        </is>
      </c>
      <c r="J279" s="13" t="inlineStr">
        <is>
          <t>15%</t>
        </is>
      </c>
      <c r="K279" s="13" t="inlineStr">
        <is>
          <t>20%</t>
        </is>
      </c>
      <c r="L279" s="13" t="inlineStr">
        <is>
          <t>25%</t>
        </is>
      </c>
    </row>
    <row r="280">
      <c r="A280" s="8" t="inlineStr">
        <is>
          <t>Blanchette</t>
        </is>
      </c>
      <c r="B280" s="8" t="n">
        <v>10</v>
      </c>
      <c r="C280" s="8" t="inlineStr">
        <is>
          <t>Expedition</t>
        </is>
      </c>
      <c r="D280" s="8" t="n">
        <v>2</v>
      </c>
      <c r="E280" s="8" t="inlineStr">
        <is>
          <t>Blood Hunter</t>
        </is>
      </c>
      <c r="F280" s="8" t="inlineStr">
        <is>
          <t>Every 3 rounds your Marksmen fire a crystal blade for extra damage.</t>
        </is>
      </c>
      <c r="G280" s="8" t="inlineStr">
        <is>
          <t>Extra damage</t>
        </is>
      </c>
      <c r="H280" s="13" t="inlineStr">
        <is>
          <t>15%</t>
        </is>
      </c>
      <c r="I280" s="13" t="inlineStr">
        <is>
          <t>30%</t>
        </is>
      </c>
      <c r="J280" s="13" t="inlineStr">
        <is>
          <t>45%</t>
        </is>
      </c>
      <c r="K280" s="13" t="inlineStr">
        <is>
          <t>60%</t>
        </is>
      </c>
      <c r="L280" s="13" t="inlineStr">
        <is>
          <t>75%</t>
        </is>
      </c>
    </row>
    <row r="281">
      <c r="A281" s="8" t="inlineStr">
        <is>
          <t>Blanchette</t>
        </is>
      </c>
      <c r="B281" s="8" t="n">
        <v>10</v>
      </c>
      <c r="C281" s="8" t="inlineStr">
        <is>
          <t>Expedition</t>
        </is>
      </c>
      <c r="D281" s="8" t="n">
        <v>3</v>
      </c>
      <c r="E281" s="8" t="inlineStr">
        <is>
          <t>Crimson Sniper</t>
        </is>
      </c>
      <c r="F281" s="8" t="inlineStr">
        <is>
          <t>Every 2 strikes your Marksmen deal extra damage, with more against enemy Lancers than enemy Marksmen.</t>
        </is>
      </c>
      <c r="G281" s="8" t="inlineStr">
        <is>
          <t>Bonus vs Lancers</t>
        </is>
      </c>
      <c r="H281" s="13" t="inlineStr">
        <is>
          <t>8%</t>
        </is>
      </c>
      <c r="I281" s="13" t="inlineStr">
        <is>
          <t>16%</t>
        </is>
      </c>
      <c r="J281" s="13" t="inlineStr">
        <is>
          <t>24%</t>
        </is>
      </c>
      <c r="K281" s="13" t="inlineStr">
        <is>
          <t>32%</t>
        </is>
      </c>
      <c r="L281" s="13" t="inlineStr">
        <is>
          <t>40%</t>
        </is>
      </c>
    </row>
    <row r="282">
      <c r="A282" s="8" t="inlineStr">
        <is>
          <t>Blanchette</t>
        </is>
      </c>
      <c r="B282" s="8" t="n">
        <v>10</v>
      </c>
      <c r="C282" s="8" t="inlineStr">
        <is>
          <t>Expedition</t>
        </is>
      </c>
      <c r="D282" s="8" t="n">
        <v>3</v>
      </c>
      <c r="E282" s="8" t="inlineStr">
        <is>
          <t>Crimson Sniper</t>
        </is>
      </c>
      <c r="F282" s="8" t="inlineStr">
        <is>
          <t>Every 2 strikes your Marksmen deal extra damage, with more against enemy Lancers than enemy Marksmen.</t>
        </is>
      </c>
      <c r="G282" s="8" t="inlineStr">
        <is>
          <t>Bonus vs Marksmen</t>
        </is>
      </c>
      <c r="H282" s="13" t="inlineStr">
        <is>
          <t>4%</t>
        </is>
      </c>
      <c r="I282" s="13" t="inlineStr">
        <is>
          <t>8%</t>
        </is>
      </c>
      <c r="J282" s="13" t="inlineStr">
        <is>
          <t>12%</t>
        </is>
      </c>
      <c r="K282" s="13" t="inlineStr">
        <is>
          <t>16%</t>
        </is>
      </c>
      <c r="L282" s="13" t="inlineStr">
        <is>
          <t>20%</t>
        </is>
      </c>
    </row>
    <row r="283">
      <c r="A283" s="8" t="inlineStr">
        <is>
          <t>Freya</t>
        </is>
      </c>
      <c r="B283" s="8" t="n">
        <v>10</v>
      </c>
      <c r="C283" s="8" t="inlineStr">
        <is>
          <t>Exploration</t>
        </is>
      </c>
      <c r="D283" s="8" t="n">
        <v>1</v>
      </c>
      <c r="E283" s="8" t="inlineStr">
        <is>
          <t>Chain Sunder</t>
        </is>
      </c>
      <c r="F283" s="8" t="inlineStr">
        <is>
          <t>Chains the target and its neighbours, then leaves a mark so part of any damage the target takes spreads to enemies near it.</t>
        </is>
      </c>
      <c r="G283" s="8" t="inlineStr">
        <is>
          <t>Damage (x Attack)</t>
        </is>
      </c>
      <c r="H283" s="13" t="inlineStr">
        <is>
          <t>200%</t>
        </is>
      </c>
      <c r="I283" s="13" t="inlineStr">
        <is>
          <t>220%</t>
        </is>
      </c>
      <c r="J283" s="13" t="inlineStr">
        <is>
          <t>240%</t>
        </is>
      </c>
      <c r="K283" s="13" t="inlineStr">
        <is>
          <t>260%</t>
        </is>
      </c>
      <c r="L283" s="13" t="inlineStr">
        <is>
          <t>280%</t>
        </is>
      </c>
    </row>
    <row r="284">
      <c r="A284" s="8" t="inlineStr">
        <is>
          <t>Freya</t>
        </is>
      </c>
      <c r="B284" s="8" t="n">
        <v>10</v>
      </c>
      <c r="C284" s="8" t="inlineStr">
        <is>
          <t>Exploration</t>
        </is>
      </c>
      <c r="D284" s="8" t="n">
        <v>1</v>
      </c>
      <c r="E284" s="8" t="inlineStr">
        <is>
          <t>Chain Sunder</t>
        </is>
      </c>
      <c r="F284" s="8" t="inlineStr">
        <is>
          <t>Chains the target and its neighbours, then leaves a mark so part of any damage the target takes spreads to enemies near it.</t>
        </is>
      </c>
      <c r="G284" s="8" t="inlineStr">
        <is>
          <t>Damage shared to neighbours</t>
        </is>
      </c>
      <c r="H284" s="13" t="inlineStr">
        <is>
          <t>40%</t>
        </is>
      </c>
      <c r="I284" s="13" t="inlineStr">
        <is>
          <t>50%</t>
        </is>
      </c>
      <c r="J284" s="13" t="inlineStr">
        <is>
          <t>60%</t>
        </is>
      </c>
      <c r="K284" s="13" t="inlineStr">
        <is>
          <t>70%</t>
        </is>
      </c>
      <c r="L284" s="13" t="inlineStr">
        <is>
          <t>80%</t>
        </is>
      </c>
    </row>
    <row r="285">
      <c r="A285" s="8" t="inlineStr">
        <is>
          <t>Freya</t>
        </is>
      </c>
      <c r="B285" s="8" t="n">
        <v>10</v>
      </c>
      <c r="C285" s="8" t="inlineStr">
        <is>
          <t>Exploration</t>
        </is>
      </c>
      <c r="D285" s="8" t="n">
        <v>2</v>
      </c>
      <c r="E285" s="8" t="inlineStr">
        <is>
          <t>Prickled Bind</t>
        </is>
      </c>
      <c r="F285" s="8" t="inlineStr">
        <is>
          <t>Chain-smashes a target and holds it in place for 1.5 seconds.</t>
        </is>
      </c>
      <c r="G285" s="8" t="inlineStr">
        <is>
          <t>Damage (x Attack)</t>
        </is>
      </c>
      <c r="H285" s="13" t="inlineStr">
        <is>
          <t>100%</t>
        </is>
      </c>
      <c r="I285" s="13" t="inlineStr">
        <is>
          <t>110%</t>
        </is>
      </c>
      <c r="J285" s="13" t="inlineStr">
        <is>
          <t>120%</t>
        </is>
      </c>
      <c r="K285" s="13" t="inlineStr">
        <is>
          <t>130%</t>
        </is>
      </c>
      <c r="L285" s="13" t="inlineStr">
        <is>
          <t>140%</t>
        </is>
      </c>
    </row>
    <row r="286">
      <c r="A286" s="8" t="inlineStr">
        <is>
          <t>Freya</t>
        </is>
      </c>
      <c r="B286" s="8" t="n">
        <v>10</v>
      </c>
      <c r="C286" s="8" t="inlineStr">
        <is>
          <t>Exploration</t>
        </is>
      </c>
      <c r="D286" s="8" t="n">
        <v>3</v>
      </c>
      <c r="E286" s="8" t="inlineStr">
        <is>
          <t>Crystal Fury</t>
        </is>
      </c>
      <c r="F286" s="8" t="inlineStr">
        <is>
          <t>Her Crit Rate surges every few normal attacks. Higher levels trigger it sooner.</t>
        </is>
      </c>
      <c r="G286" s="8" t="inlineStr">
        <is>
          <t>Crit Rate boost</t>
        </is>
      </c>
      <c r="H286" s="13" t="inlineStr">
        <is>
          <t>60%</t>
        </is>
      </c>
      <c r="I286" s="13" t="inlineStr">
        <is>
          <t>70%</t>
        </is>
      </c>
      <c r="J286" s="13" t="inlineStr">
        <is>
          <t>80%</t>
        </is>
      </c>
      <c r="K286" s="13" t="inlineStr">
        <is>
          <t>90%</t>
        </is>
      </c>
      <c r="L286" s="13" t="inlineStr">
        <is>
          <t>100%</t>
        </is>
      </c>
    </row>
    <row r="287">
      <c r="A287" s="8" t="inlineStr">
        <is>
          <t>Freya</t>
        </is>
      </c>
      <c r="B287" s="8" t="n">
        <v>10</v>
      </c>
      <c r="C287" s="8" t="inlineStr">
        <is>
          <t>Exploration</t>
        </is>
      </c>
      <c r="D287" s="8" t="n">
        <v>3</v>
      </c>
      <c r="E287" s="8" t="inlineStr">
        <is>
          <t>Crystal Fury</t>
        </is>
      </c>
      <c r="F287" s="8" t="inlineStr">
        <is>
          <t>Her Crit Rate surges every few normal attacks. Higher levels trigger it sooner.</t>
        </is>
      </c>
      <c r="G287" s="8" t="inlineStr">
        <is>
          <t>Attacks needed</t>
        </is>
      </c>
      <c r="H287" s="13" t="inlineStr">
        <is>
          <t>8</t>
        </is>
      </c>
      <c r="I287" s="13" t="inlineStr">
        <is>
          <t>7</t>
        </is>
      </c>
      <c r="J287" s="13" t="inlineStr">
        <is>
          <t>6</t>
        </is>
      </c>
      <c r="K287" s="13" t="inlineStr">
        <is>
          <t>5</t>
        </is>
      </c>
      <c r="L287" s="13" t="inlineStr">
        <is>
          <t>4</t>
        </is>
      </c>
    </row>
    <row r="288">
      <c r="A288" s="8" t="inlineStr">
        <is>
          <t>Freya</t>
        </is>
      </c>
      <c r="B288" s="8" t="n">
        <v>10</v>
      </c>
      <c r="C288" s="8" t="inlineStr">
        <is>
          <t>Expedition</t>
        </is>
      </c>
      <c r="D288" s="8" t="n">
        <v>1</v>
      </c>
      <c r="E288" s="8" t="inlineStr">
        <is>
          <t>Fog of War</t>
        </is>
      </c>
      <c r="F288" s="8" t="inlineStr">
        <is>
          <t>Weakens every enemy troop by lowering their Attack.</t>
        </is>
      </c>
      <c r="G288" s="8" t="inlineStr">
        <is>
          <t>Enemy Attack reduction</t>
        </is>
      </c>
      <c r="H288" s="13" t="inlineStr">
        <is>
          <t>4%</t>
        </is>
      </c>
      <c r="I288" s="13" t="inlineStr">
        <is>
          <t>8%</t>
        </is>
      </c>
      <c r="J288" s="13" t="inlineStr">
        <is>
          <t>12%</t>
        </is>
      </c>
      <c r="K288" s="13" t="inlineStr">
        <is>
          <t>16%</t>
        </is>
      </c>
      <c r="L288" s="13" t="inlineStr">
        <is>
          <t>20%</t>
        </is>
      </c>
    </row>
    <row r="289">
      <c r="A289" s="8" t="inlineStr">
        <is>
          <t>Freya</t>
        </is>
      </c>
      <c r="B289" s="8" t="n">
        <v>10</v>
      </c>
      <c r="C289" s="8" t="inlineStr">
        <is>
          <t>Expedition</t>
        </is>
      </c>
      <c r="D289" s="8" t="n">
        <v>2</v>
      </c>
      <c r="E289" s="8" t="inlineStr">
        <is>
          <t>Blood Moon Scythe</t>
        </is>
      </c>
      <c r="F289" s="8" t="inlineStr">
        <is>
          <t>Her Lancers' normal attacks have a 50% chance to Reap for extra damage.</t>
        </is>
      </c>
      <c r="G289" s="8" t="inlineStr">
        <is>
          <t>Reap damage</t>
        </is>
      </c>
      <c r="H289" s="13" t="inlineStr">
        <is>
          <t>20%</t>
        </is>
      </c>
      <c r="I289" s="13" t="inlineStr">
        <is>
          <t>40%</t>
        </is>
      </c>
      <c r="J289" s="13" t="inlineStr">
        <is>
          <t>60%</t>
        </is>
      </c>
      <c r="K289" s="13" t="inlineStr">
        <is>
          <t>80%</t>
        </is>
      </c>
      <c r="L289" s="13" t="inlineStr">
        <is>
          <t>100%</t>
        </is>
      </c>
    </row>
    <row r="290">
      <c r="A290" s="8" t="inlineStr">
        <is>
          <t>Freya</t>
        </is>
      </c>
      <c r="B290" s="8" t="n">
        <v>10</v>
      </c>
      <c r="C290" s="8" t="inlineStr">
        <is>
          <t>Expedition</t>
        </is>
      </c>
      <c r="D290" s="8" t="n">
        <v>3</v>
      </c>
      <c r="E290" s="8" t="inlineStr">
        <is>
          <t>Night's Vengeance</t>
        </is>
      </c>
      <c r="F290" s="8" t="inlineStr">
        <is>
          <t>Your Infantry and Marksmen take less damage and deal more.</t>
        </is>
      </c>
      <c r="G290" s="8" t="inlineStr">
        <is>
          <t>Damage taken reduction</t>
        </is>
      </c>
      <c r="H290" s="13" t="inlineStr">
        <is>
          <t>3%</t>
        </is>
      </c>
      <c r="I290" s="13" t="inlineStr">
        <is>
          <t>6%</t>
        </is>
      </c>
      <c r="J290" s="13" t="inlineStr">
        <is>
          <t>9%</t>
        </is>
      </c>
      <c r="K290" s="13" t="inlineStr">
        <is>
          <t>12%</t>
        </is>
      </c>
      <c r="L290" s="13" t="inlineStr">
        <is>
          <t>15%</t>
        </is>
      </c>
    </row>
    <row r="291">
      <c r="A291" s="8" t="inlineStr">
        <is>
          <t>Freya</t>
        </is>
      </c>
      <c r="B291" s="8" t="n">
        <v>10</v>
      </c>
      <c r="C291" s="8" t="inlineStr">
        <is>
          <t>Expedition</t>
        </is>
      </c>
      <c r="D291" s="8" t="n">
        <v>3</v>
      </c>
      <c r="E291" s="8" t="inlineStr">
        <is>
          <t>Night's Vengeance</t>
        </is>
      </c>
      <c r="F291" s="8" t="inlineStr">
        <is>
          <t>Your Infantry and Marksmen take less damage and deal more.</t>
        </is>
      </c>
      <c r="G291" s="8" t="inlineStr">
        <is>
          <t>Damage dealt bonus</t>
        </is>
      </c>
      <c r="H291" s="13" t="inlineStr">
        <is>
          <t>3%</t>
        </is>
      </c>
      <c r="I291" s="13" t="inlineStr">
        <is>
          <t>6%</t>
        </is>
      </c>
      <c r="J291" s="13" t="inlineStr">
        <is>
          <t>9%</t>
        </is>
      </c>
      <c r="K291" s="13" t="inlineStr">
        <is>
          <t>12%</t>
        </is>
      </c>
      <c r="L291" s="13" t="inlineStr">
        <is>
          <t>15%</t>
        </is>
      </c>
    </row>
    <row r="292">
      <c r="A292" s="8" t="inlineStr">
        <is>
          <t>Gregory</t>
        </is>
      </c>
      <c r="B292" s="8" t="n">
        <v>10</v>
      </c>
      <c r="C292" s="8" t="inlineStr">
        <is>
          <t>Exploration</t>
        </is>
      </c>
      <c r="D292" s="8" t="n">
        <v>1</v>
      </c>
      <c r="E292" s="8" t="inlineStr">
        <is>
          <t>Sword of the Mountain</t>
        </is>
      </c>
      <c r="F292" s="8" t="inlineStr">
        <is>
          <t>A furious strike that damages the area, knocks enemies back and stuns them for 1 second.</t>
        </is>
      </c>
      <c r="G292" s="8" t="inlineStr">
        <is>
          <t>Area damage (x Attack)</t>
        </is>
      </c>
      <c r="H292" s="13" t="inlineStr">
        <is>
          <t>100%</t>
        </is>
      </c>
      <c r="I292" s="13" t="inlineStr">
        <is>
          <t>110%</t>
        </is>
      </c>
      <c r="J292" s="13" t="inlineStr">
        <is>
          <t>120%</t>
        </is>
      </c>
      <c r="K292" s="13" t="inlineStr">
        <is>
          <t>130%</t>
        </is>
      </c>
      <c r="L292" s="13" t="inlineStr">
        <is>
          <t>140%</t>
        </is>
      </c>
    </row>
    <row r="293">
      <c r="A293" s="8" t="inlineStr">
        <is>
          <t>Gregory</t>
        </is>
      </c>
      <c r="B293" s="8" t="n">
        <v>10</v>
      </c>
      <c r="C293" s="8" t="inlineStr">
        <is>
          <t>Exploration</t>
        </is>
      </c>
      <c r="D293" s="8" t="n">
        <v>2</v>
      </c>
      <c r="E293" s="8" t="inlineStr">
        <is>
          <t>Parryshield</t>
        </is>
      </c>
      <c r="F293" s="8" t="inlineStr">
        <is>
          <t>Gives him a chance to halve the damage of an incoming hit.</t>
        </is>
      </c>
      <c r="G293" s="8" t="inlineStr">
        <is>
          <t>Chance to halve damage</t>
        </is>
      </c>
      <c r="H293" s="13" t="inlineStr">
        <is>
          <t>10%</t>
        </is>
      </c>
      <c r="I293" s="13" t="inlineStr">
        <is>
          <t>20%</t>
        </is>
      </c>
      <c r="J293" s="13" t="inlineStr">
        <is>
          <t>30%</t>
        </is>
      </c>
      <c r="K293" s="13" t="inlineStr">
        <is>
          <t>40%</t>
        </is>
      </c>
      <c r="L293" s="13" t="inlineStr">
        <is>
          <t>50%</t>
        </is>
      </c>
    </row>
    <row r="294">
      <c r="A294" s="8" t="inlineStr">
        <is>
          <t>Gregory</t>
        </is>
      </c>
      <c r="B294" s="8" t="n">
        <v>10</v>
      </c>
      <c r="C294" s="8" t="inlineStr">
        <is>
          <t>Exploration</t>
        </is>
      </c>
      <c r="D294" s="8" t="n">
        <v>3</v>
      </c>
      <c r="E294" s="8" t="inlineStr">
        <is>
          <t>Sacrificial Will</t>
        </is>
      </c>
      <c r="F294" s="8" t="inlineStr">
        <is>
          <t>If he falls, all friendly troops gain an Attack boost for 5 seconds.</t>
        </is>
      </c>
      <c r="G294" s="8" t="inlineStr">
        <is>
          <t>Attack bonus on defeat</t>
        </is>
      </c>
      <c r="H294" s="13" t="inlineStr">
        <is>
          <t>8%</t>
        </is>
      </c>
      <c r="I294" s="13" t="inlineStr">
        <is>
          <t>12%</t>
        </is>
      </c>
      <c r="J294" s="13" t="inlineStr">
        <is>
          <t>16%</t>
        </is>
      </c>
      <c r="K294" s="13" t="inlineStr">
        <is>
          <t>20%</t>
        </is>
      </c>
      <c r="L294" s="13" t="inlineStr">
        <is>
          <t>24%</t>
        </is>
      </c>
    </row>
    <row r="295">
      <c r="A295" s="8" t="inlineStr">
        <is>
          <t>Gregory</t>
        </is>
      </c>
      <c r="B295" s="8" t="n">
        <v>10</v>
      </c>
      <c r="C295" s="8" t="inlineStr">
        <is>
          <t>Expedition</t>
        </is>
      </c>
      <c r="D295" s="8" t="n">
        <v>1</v>
      </c>
      <c r="E295" s="8" t="inlineStr">
        <is>
          <t>Legion of the Sun</t>
        </is>
      </c>
      <c r="F295" s="8" t="inlineStr">
        <is>
          <t>Raises the Attack and Defense of every troop in your squad.</t>
        </is>
      </c>
      <c r="G295" s="8" t="inlineStr">
        <is>
          <t>Attack bonus</t>
        </is>
      </c>
      <c r="H295" s="13" t="inlineStr">
        <is>
          <t>3%</t>
        </is>
      </c>
      <c r="I295" s="13" t="inlineStr">
        <is>
          <t>6%</t>
        </is>
      </c>
      <c r="J295" s="13" t="inlineStr">
        <is>
          <t>9%</t>
        </is>
      </c>
      <c r="K295" s="13" t="inlineStr">
        <is>
          <t>12%</t>
        </is>
      </c>
      <c r="L295" s="13" t="inlineStr">
        <is>
          <t>15%</t>
        </is>
      </c>
    </row>
    <row r="296">
      <c r="A296" s="8" t="inlineStr">
        <is>
          <t>Gregory</t>
        </is>
      </c>
      <c r="B296" s="8" t="n">
        <v>10</v>
      </c>
      <c r="C296" s="8" t="inlineStr">
        <is>
          <t>Expedition</t>
        </is>
      </c>
      <c r="D296" s="8" t="n">
        <v>1</v>
      </c>
      <c r="E296" s="8" t="inlineStr">
        <is>
          <t>Legion of the Sun</t>
        </is>
      </c>
      <c r="F296" s="8" t="inlineStr">
        <is>
          <t>Raises the Attack and Defense of every troop in your squad.</t>
        </is>
      </c>
      <c r="G296" s="8" t="inlineStr">
        <is>
          <t>Defense bonus</t>
        </is>
      </c>
      <c r="H296" s="13" t="inlineStr">
        <is>
          <t>2%</t>
        </is>
      </c>
      <c r="I296" s="13" t="inlineStr">
        <is>
          <t>4%</t>
        </is>
      </c>
      <c r="J296" s="13" t="inlineStr">
        <is>
          <t>6%</t>
        </is>
      </c>
      <c r="K296" s="13" t="inlineStr">
        <is>
          <t>8%</t>
        </is>
      </c>
      <c r="L296" s="13" t="inlineStr">
        <is>
          <t>10%</t>
        </is>
      </c>
    </row>
    <row r="297">
      <c r="A297" s="8" t="inlineStr">
        <is>
          <t>Gregory</t>
        </is>
      </c>
      <c r="B297" s="8" t="n">
        <v>10</v>
      </c>
      <c r="C297" s="8" t="inlineStr">
        <is>
          <t>Expedition</t>
        </is>
      </c>
      <c r="D297" s="8" t="n">
        <v>2</v>
      </c>
      <c r="E297" s="8" t="inlineStr">
        <is>
          <t>Charged Assault</t>
        </is>
      </c>
      <c r="F297" s="8" t="inlineStr">
        <is>
          <t>Gives all your troops' normal attacks a chance to crit.</t>
        </is>
      </c>
      <c r="G297" s="8" t="inlineStr">
        <is>
          <t>Crit chance</t>
        </is>
      </c>
      <c r="H297" s="13" t="inlineStr">
        <is>
          <t>5%</t>
        </is>
      </c>
      <c r="I297" s="13" t="inlineStr">
        <is>
          <t>10%</t>
        </is>
      </c>
      <c r="J297" s="13" t="inlineStr">
        <is>
          <t>15%</t>
        </is>
      </c>
      <c r="K297" s="13" t="inlineStr">
        <is>
          <t>20%</t>
        </is>
      </c>
      <c r="L297" s="13" t="inlineStr">
        <is>
          <t>25%</t>
        </is>
      </c>
    </row>
    <row r="298">
      <c r="A298" s="8" t="inlineStr">
        <is>
          <t>Gregory</t>
        </is>
      </c>
      <c r="B298" s="8" t="n">
        <v>10</v>
      </c>
      <c r="C298" s="8" t="inlineStr">
        <is>
          <t>Expedition</t>
        </is>
      </c>
      <c r="D298" s="8" t="n">
        <v>3</v>
      </c>
      <c r="E298" s="8" t="inlineStr">
        <is>
          <t>Unbroken</t>
        </is>
      </c>
      <c r="F298" s="8" t="inlineStr">
        <is>
          <t>Cuts the damage your Infantry take.</t>
        </is>
      </c>
      <c r="G298" s="8" t="inlineStr">
        <is>
          <t>Infantry damage taken reduction</t>
        </is>
      </c>
      <c r="H298" s="13" t="inlineStr">
        <is>
          <t>4%</t>
        </is>
      </c>
      <c r="I298" s="13" t="inlineStr">
        <is>
          <t>8%</t>
        </is>
      </c>
      <c r="J298" s="13" t="inlineStr">
        <is>
          <t>12%</t>
        </is>
      </c>
      <c r="K298" s="13" t="inlineStr">
        <is>
          <t>16%</t>
        </is>
      </c>
      <c r="L298" s="13" t="inlineStr">
        <is>
          <t>20%</t>
        </is>
      </c>
    </row>
    <row r="299">
      <c r="A299" s="8" t="inlineStr">
        <is>
          <t>Eleonora</t>
        </is>
      </c>
      <c r="B299" s="8" t="n">
        <v>11</v>
      </c>
      <c r="C299" s="8" t="inlineStr">
        <is>
          <t>Exploration</t>
        </is>
      </c>
      <c r="D299" s="8" t="n">
        <v>1</v>
      </c>
      <c r="E299" s="8" t="inlineStr">
        <is>
          <t>Shield of Blaze</t>
        </is>
      </c>
      <c r="F299" s="8" t="inlineStr">
        <is>
          <t>Raises a spiked shield and reflects 30% of the damage she takes back at enemies. When it breaks after 3 seconds it damages nearby enemies.</t>
        </is>
      </c>
      <c r="G299" s="8" t="inlineStr">
        <is>
          <t>Shield (x Attack)</t>
        </is>
      </c>
      <c r="H299" s="13" t="inlineStr">
        <is>
          <t>100%</t>
        </is>
      </c>
      <c r="I299" s="13" t="inlineStr">
        <is>
          <t>130%</t>
        </is>
      </c>
      <c r="J299" s="13" t="inlineStr">
        <is>
          <t>160%</t>
        </is>
      </c>
      <c r="K299" s="13" t="inlineStr">
        <is>
          <t>190%</t>
        </is>
      </c>
      <c r="L299" s="13" t="inlineStr">
        <is>
          <t>220%</t>
        </is>
      </c>
    </row>
    <row r="300">
      <c r="A300" s="8" t="inlineStr">
        <is>
          <t>Eleonora</t>
        </is>
      </c>
      <c r="B300" s="8" t="n">
        <v>11</v>
      </c>
      <c r="C300" s="8" t="inlineStr">
        <is>
          <t>Exploration</t>
        </is>
      </c>
      <c r="D300" s="8" t="n">
        <v>1</v>
      </c>
      <c r="E300" s="8" t="inlineStr">
        <is>
          <t>Shield of Blaze</t>
        </is>
      </c>
      <c r="F300" s="8" t="inlineStr">
        <is>
          <t>Raises a spiked shield and reflects 30% of the damage she takes back at enemies. When it breaks after 3 seconds it damages nearby enemies.</t>
        </is>
      </c>
      <c r="G300" s="8" t="inlineStr">
        <is>
          <t>Rupture damage</t>
        </is>
      </c>
      <c r="H300" s="13" t="inlineStr">
        <is>
          <t>60%</t>
        </is>
      </c>
      <c r="I300" s="13" t="inlineStr">
        <is>
          <t>65%</t>
        </is>
      </c>
      <c r="J300" s="13" t="inlineStr">
        <is>
          <t>70%</t>
        </is>
      </c>
      <c r="K300" s="13" t="inlineStr">
        <is>
          <t>75%</t>
        </is>
      </c>
      <c r="L300" s="13" t="inlineStr">
        <is>
          <t>80%</t>
        </is>
      </c>
    </row>
    <row r="301">
      <c r="A301" s="8" t="inlineStr">
        <is>
          <t>Eleonora</t>
        </is>
      </c>
      <c r="B301" s="8" t="n">
        <v>11</v>
      </c>
      <c r="C301" s="8" t="inlineStr">
        <is>
          <t>Exploration</t>
        </is>
      </c>
      <c r="D301" s="8" t="n">
        <v>2</v>
      </c>
      <c r="E301" s="8" t="inlineStr">
        <is>
          <t>Regal Sanction</t>
        </is>
      </c>
      <c r="F301" s="8" t="inlineStr">
        <is>
          <t>A heavy hammer blow that damages the target and lowers its Defense for 2 seconds.</t>
        </is>
      </c>
      <c r="G301" s="8" t="inlineStr">
        <is>
          <t>Damage (x Attack)</t>
        </is>
      </c>
      <c r="H301" s="13" t="inlineStr">
        <is>
          <t>100%</t>
        </is>
      </c>
      <c r="I301" s="13" t="inlineStr">
        <is>
          <t>110%</t>
        </is>
      </c>
      <c r="J301" s="13" t="inlineStr">
        <is>
          <t>120%</t>
        </is>
      </c>
      <c r="K301" s="13" t="inlineStr">
        <is>
          <t>130%</t>
        </is>
      </c>
      <c r="L301" s="13" t="inlineStr">
        <is>
          <t>140%</t>
        </is>
      </c>
    </row>
    <row r="302">
      <c r="A302" s="8" t="inlineStr">
        <is>
          <t>Eleonora</t>
        </is>
      </c>
      <c r="B302" s="8" t="n">
        <v>11</v>
      </c>
      <c r="C302" s="8" t="inlineStr">
        <is>
          <t>Exploration</t>
        </is>
      </c>
      <c r="D302" s="8" t="n">
        <v>2</v>
      </c>
      <c r="E302" s="8" t="inlineStr">
        <is>
          <t>Regal Sanction</t>
        </is>
      </c>
      <c r="F302" s="8" t="inlineStr">
        <is>
          <t>A heavy hammer blow that damages the target and lowers its Defense for 2 seconds.</t>
        </is>
      </c>
      <c r="G302" s="8" t="inlineStr">
        <is>
          <t>Defense reduction</t>
        </is>
      </c>
      <c r="H302" s="13" t="inlineStr">
        <is>
          <t>10%</t>
        </is>
      </c>
      <c r="I302" s="13" t="inlineStr">
        <is>
          <t>15%</t>
        </is>
      </c>
      <c r="J302" s="13" t="inlineStr">
        <is>
          <t>20%</t>
        </is>
      </c>
      <c r="K302" s="13" t="inlineStr">
        <is>
          <t>25%</t>
        </is>
      </c>
      <c r="L302" s="13" t="inlineStr">
        <is>
          <t>30%</t>
        </is>
      </c>
    </row>
    <row r="303">
      <c r="A303" s="8" t="inlineStr">
        <is>
          <t>Eleonora</t>
        </is>
      </c>
      <c r="B303" s="8" t="n">
        <v>11</v>
      </c>
      <c r="C303" s="8" t="inlineStr">
        <is>
          <t>Exploration</t>
        </is>
      </c>
      <c r="D303" s="8" t="n">
        <v>3</v>
      </c>
      <c r="E303" s="8" t="inlineStr">
        <is>
          <t>Majestic Corona</t>
        </is>
      </c>
      <c r="F303" s="8" t="inlineStr">
        <is>
          <t>She takes less damage and deals more.</t>
        </is>
      </c>
      <c r="G303" s="8" t="inlineStr">
        <is>
          <t>Damage taken reduction</t>
        </is>
      </c>
      <c r="H303" s="13" t="inlineStr">
        <is>
          <t>5%</t>
        </is>
      </c>
      <c r="I303" s="13" t="inlineStr">
        <is>
          <t>7.5%</t>
        </is>
      </c>
      <c r="J303" s="13" t="inlineStr">
        <is>
          <t>10%</t>
        </is>
      </c>
      <c r="K303" s="13" t="inlineStr">
        <is>
          <t>12.5%</t>
        </is>
      </c>
      <c r="L303" s="13" t="inlineStr">
        <is>
          <t>15%</t>
        </is>
      </c>
    </row>
    <row r="304">
      <c r="A304" s="8" t="inlineStr">
        <is>
          <t>Eleonora</t>
        </is>
      </c>
      <c r="B304" s="8" t="n">
        <v>11</v>
      </c>
      <c r="C304" s="8" t="inlineStr">
        <is>
          <t>Exploration</t>
        </is>
      </c>
      <c r="D304" s="8" t="n">
        <v>3</v>
      </c>
      <c r="E304" s="8" t="inlineStr">
        <is>
          <t>Majestic Corona</t>
        </is>
      </c>
      <c r="F304" s="8" t="inlineStr">
        <is>
          <t>She takes less damage and deals more.</t>
        </is>
      </c>
      <c r="G304" s="8" t="inlineStr">
        <is>
          <t>Damage dealt bonus</t>
        </is>
      </c>
      <c r="H304" s="13" t="inlineStr">
        <is>
          <t>5%</t>
        </is>
      </c>
      <c r="I304" s="13" t="inlineStr">
        <is>
          <t>7.5%</t>
        </is>
      </c>
      <c r="J304" s="13" t="inlineStr">
        <is>
          <t>10%</t>
        </is>
      </c>
      <c r="K304" s="13" t="inlineStr">
        <is>
          <t>12.5%</t>
        </is>
      </c>
      <c r="L304" s="13" t="inlineStr">
        <is>
          <t>15%</t>
        </is>
      </c>
    </row>
    <row r="305">
      <c r="A305" s="8" t="inlineStr">
        <is>
          <t>Eleonora</t>
        </is>
      </c>
      <c r="B305" s="8" t="n">
        <v>11</v>
      </c>
      <c r="C305" s="8" t="inlineStr">
        <is>
          <t>Expedition</t>
        </is>
      </c>
      <c r="D305" s="8" t="n">
        <v>1</v>
      </c>
      <c r="E305" s="8" t="inlineStr">
        <is>
          <t>Scorching Sun</t>
        </is>
      </c>
      <c r="F305" s="8" t="inlineStr">
        <is>
          <t>Raises the Health of every troop in your squad.</t>
        </is>
      </c>
      <c r="G305" s="8" t="inlineStr">
        <is>
          <t>Health bonus</t>
        </is>
      </c>
      <c r="H305" s="13" t="inlineStr">
        <is>
          <t>5%</t>
        </is>
      </c>
      <c r="I305" s="13" t="inlineStr">
        <is>
          <t>10%</t>
        </is>
      </c>
      <c r="J305" s="13" t="inlineStr">
        <is>
          <t>15%</t>
        </is>
      </c>
      <c r="K305" s="13" t="inlineStr">
        <is>
          <t>20%</t>
        </is>
      </c>
      <c r="L305" s="13" t="inlineStr">
        <is>
          <t>25%</t>
        </is>
      </c>
    </row>
    <row r="306">
      <c r="A306" s="8" t="inlineStr">
        <is>
          <t>Eleonora</t>
        </is>
      </c>
      <c r="B306" s="8" t="n">
        <v>11</v>
      </c>
      <c r="C306" s="8" t="inlineStr">
        <is>
          <t>Expedition</t>
        </is>
      </c>
      <c r="D306" s="8" t="n">
        <v>2</v>
      </c>
      <c r="E306" s="8" t="inlineStr">
        <is>
          <t>Solaris Nexus</t>
        </is>
      </c>
      <c r="F306" s="8" t="inlineStr">
        <is>
          <t>Your Infantry take less damage and your Marksmen deal more.</t>
        </is>
      </c>
      <c r="G306" s="8" t="inlineStr">
        <is>
          <t>Infantry damage taken reduction</t>
        </is>
      </c>
      <c r="H306" s="13" t="inlineStr">
        <is>
          <t>2%</t>
        </is>
      </c>
      <c r="I306" s="13" t="inlineStr">
        <is>
          <t>4%</t>
        </is>
      </c>
      <c r="J306" s="13" t="inlineStr">
        <is>
          <t>6%</t>
        </is>
      </c>
      <c r="K306" s="13" t="inlineStr">
        <is>
          <t>8%</t>
        </is>
      </c>
      <c r="L306" s="13" t="inlineStr">
        <is>
          <t>10%</t>
        </is>
      </c>
    </row>
    <row r="307">
      <c r="A307" s="8" t="inlineStr">
        <is>
          <t>Eleonora</t>
        </is>
      </c>
      <c r="B307" s="8" t="n">
        <v>11</v>
      </c>
      <c r="C307" s="8" t="inlineStr">
        <is>
          <t>Expedition</t>
        </is>
      </c>
      <c r="D307" s="8" t="n">
        <v>2</v>
      </c>
      <c r="E307" s="8" t="inlineStr">
        <is>
          <t>Solaris Nexus</t>
        </is>
      </c>
      <c r="F307" s="8" t="inlineStr">
        <is>
          <t>Your Infantry take less damage and your Marksmen deal more.</t>
        </is>
      </c>
      <c r="G307" s="8" t="inlineStr">
        <is>
          <t>Marksman damage bonus</t>
        </is>
      </c>
      <c r="H307" s="13" t="inlineStr">
        <is>
          <t>2%</t>
        </is>
      </c>
      <c r="I307" s="13" t="inlineStr">
        <is>
          <t>4%</t>
        </is>
      </c>
      <c r="J307" s="13" t="inlineStr">
        <is>
          <t>6%</t>
        </is>
      </c>
      <c r="K307" s="13" t="inlineStr">
        <is>
          <t>8%</t>
        </is>
      </c>
      <c r="L307" s="13" t="inlineStr">
        <is>
          <t>10%</t>
        </is>
      </c>
    </row>
    <row r="308">
      <c r="A308" s="8" t="inlineStr">
        <is>
          <t>Eleonora</t>
        </is>
      </c>
      <c r="B308" s="8" t="n">
        <v>11</v>
      </c>
      <c r="C308" s="8" t="inlineStr">
        <is>
          <t>Expedition</t>
        </is>
      </c>
      <c r="D308" s="8" t="n">
        <v>3</v>
      </c>
      <c r="E308" s="8" t="inlineStr">
        <is>
          <t>Soaring Flame</t>
        </is>
      </c>
      <c r="F308" s="8" t="inlineStr">
        <is>
          <t>Every 5 Infantry attacks, all troops deal more and take less damage for 2 turns.</t>
        </is>
      </c>
      <c r="G308" s="8" t="inlineStr">
        <is>
          <t>Damage dealt bonus</t>
        </is>
      </c>
      <c r="H308" s="13" t="inlineStr">
        <is>
          <t>5%</t>
        </is>
      </c>
      <c r="I308" s="13" t="inlineStr">
        <is>
          <t>10%</t>
        </is>
      </c>
      <c r="J308" s="13" t="inlineStr">
        <is>
          <t>15%</t>
        </is>
      </c>
      <c r="K308" s="13" t="inlineStr">
        <is>
          <t>20%</t>
        </is>
      </c>
      <c r="L308" s="13" t="inlineStr">
        <is>
          <t>25%</t>
        </is>
      </c>
    </row>
    <row r="309">
      <c r="A309" s="8" t="inlineStr">
        <is>
          <t>Eleonora</t>
        </is>
      </c>
      <c r="B309" s="8" t="n">
        <v>11</v>
      </c>
      <c r="C309" s="8" t="inlineStr">
        <is>
          <t>Expedition</t>
        </is>
      </c>
      <c r="D309" s="8" t="n">
        <v>3</v>
      </c>
      <c r="E309" s="8" t="inlineStr">
        <is>
          <t>Soaring Flame</t>
        </is>
      </c>
      <c r="F309" s="8" t="inlineStr">
        <is>
          <t>Every 5 Infantry attacks, all troops deal more and take less damage for 2 turns.</t>
        </is>
      </c>
      <c r="G309" s="8" t="inlineStr">
        <is>
          <t>Damage taken reduction</t>
        </is>
      </c>
      <c r="H309" s="13" t="inlineStr">
        <is>
          <t>5%</t>
        </is>
      </c>
      <c r="I309" s="13" t="inlineStr">
        <is>
          <t>10%</t>
        </is>
      </c>
      <c r="J309" s="13" t="inlineStr">
        <is>
          <t>15%</t>
        </is>
      </c>
      <c r="K309" s="13" t="inlineStr">
        <is>
          <t>20%</t>
        </is>
      </c>
      <c r="L309" s="13" t="inlineStr">
        <is>
          <t>25%</t>
        </is>
      </c>
    </row>
    <row r="310">
      <c r="A310" s="8" t="inlineStr">
        <is>
          <t>Lloyd</t>
        </is>
      </c>
      <c r="B310" s="8" t="n">
        <v>11</v>
      </c>
      <c r="C310" s="8" t="inlineStr">
        <is>
          <t>Exploration</t>
        </is>
      </c>
      <c r="D310" s="8" t="n">
        <v>1</v>
      </c>
      <c r="E310" s="8" t="inlineStr">
        <is>
          <t>Rapid Bombardment</t>
        </is>
      </c>
      <c r="F310" s="8" t="inlineStr">
        <is>
          <t>Sends three propeller bombs at the target, each dealing area damage.</t>
        </is>
      </c>
      <c r="G310" s="8" t="inlineStr">
        <is>
          <t>Damage per bomb (x Attack)</t>
        </is>
      </c>
      <c r="H310" s="13" t="inlineStr">
        <is>
          <t>70%</t>
        </is>
      </c>
      <c r="I310" s="13" t="inlineStr">
        <is>
          <t>77%</t>
        </is>
      </c>
      <c r="J310" s="13" t="inlineStr">
        <is>
          <t>84%</t>
        </is>
      </c>
      <c r="K310" s="13" t="inlineStr">
        <is>
          <t>91%</t>
        </is>
      </c>
      <c r="L310" s="13" t="inlineStr">
        <is>
          <t>98%</t>
        </is>
      </c>
    </row>
    <row r="311">
      <c r="A311" s="8" t="inlineStr">
        <is>
          <t>Lloyd</t>
        </is>
      </c>
      <c r="B311" s="8" t="n">
        <v>11</v>
      </c>
      <c r="C311" s="8" t="inlineStr">
        <is>
          <t>Exploration</t>
        </is>
      </c>
      <c r="D311" s="8" t="n">
        <v>2</v>
      </c>
      <c r="E311" s="8" t="inlineStr">
        <is>
          <t>Weakness Focus</t>
        </is>
      </c>
      <c r="F311" s="8" t="inlineStr">
        <is>
          <t>Shoots the target's weak points for damage, then it takes extra damage for 3 seconds.</t>
        </is>
      </c>
      <c r="G311" s="8" t="inlineStr">
        <is>
          <t>Damage (x Attack)</t>
        </is>
      </c>
      <c r="H311" s="13" t="inlineStr">
        <is>
          <t>100%</t>
        </is>
      </c>
      <c r="I311" s="13" t="inlineStr">
        <is>
          <t>110%</t>
        </is>
      </c>
      <c r="J311" s="13" t="inlineStr">
        <is>
          <t>120%</t>
        </is>
      </c>
      <c r="K311" s="13" t="inlineStr">
        <is>
          <t>130%</t>
        </is>
      </c>
      <c r="L311" s="13" t="inlineStr">
        <is>
          <t>140%</t>
        </is>
      </c>
    </row>
    <row r="312">
      <c r="A312" s="8" t="inlineStr">
        <is>
          <t>Lloyd</t>
        </is>
      </c>
      <c r="B312" s="8" t="n">
        <v>11</v>
      </c>
      <c r="C312" s="8" t="inlineStr">
        <is>
          <t>Exploration</t>
        </is>
      </c>
      <c r="D312" s="8" t="n">
        <v>2</v>
      </c>
      <c r="E312" s="8" t="inlineStr">
        <is>
          <t>Weakness Focus</t>
        </is>
      </c>
      <c r="F312" s="8" t="inlineStr">
        <is>
          <t>Shoots the target's weak points for damage, then it takes extra damage for 3 seconds.</t>
        </is>
      </c>
      <c r="G312" s="8" t="inlineStr">
        <is>
          <t>Extra damage taken</t>
        </is>
      </c>
      <c r="H312" s="13" t="inlineStr">
        <is>
          <t>10%</t>
        </is>
      </c>
      <c r="I312" s="13" t="inlineStr">
        <is>
          <t>12.5%</t>
        </is>
      </c>
      <c r="J312" s="13" t="inlineStr">
        <is>
          <t>15%</t>
        </is>
      </c>
      <c r="K312" s="13" t="inlineStr">
        <is>
          <t>17.5%</t>
        </is>
      </c>
      <c r="L312" s="13" t="inlineStr">
        <is>
          <t>20%</t>
        </is>
      </c>
    </row>
    <row r="313">
      <c r="A313" s="8" t="inlineStr">
        <is>
          <t>Lloyd</t>
        </is>
      </c>
      <c r="B313" s="8" t="n">
        <v>11</v>
      </c>
      <c r="C313" s="8" t="inlineStr">
        <is>
          <t>Exploration</t>
        </is>
      </c>
      <c r="D313" s="8" t="n">
        <v>3</v>
      </c>
      <c r="E313" s="8" t="inlineStr">
        <is>
          <t>Practiced Perfection</t>
        </is>
      </c>
      <c r="F313" s="8" t="inlineStr">
        <is>
          <t>Boosts his Attack Speed.</t>
        </is>
      </c>
      <c r="G313" s="8" t="inlineStr">
        <is>
          <t>Attack Speed bonus</t>
        </is>
      </c>
      <c r="H313" s="13" t="inlineStr">
        <is>
          <t>10%</t>
        </is>
      </c>
      <c r="I313" s="13" t="inlineStr">
        <is>
          <t>15%</t>
        </is>
      </c>
      <c r="J313" s="13" t="inlineStr">
        <is>
          <t>20%</t>
        </is>
      </c>
      <c r="K313" s="13" t="inlineStr">
        <is>
          <t>25%</t>
        </is>
      </c>
      <c r="L313" s="13" t="inlineStr">
        <is>
          <t>30%</t>
        </is>
      </c>
    </row>
    <row r="314">
      <c r="A314" s="8" t="inlineStr">
        <is>
          <t>Lloyd</t>
        </is>
      </c>
      <c r="B314" s="8" t="n">
        <v>11</v>
      </c>
      <c r="C314" s="8" t="inlineStr">
        <is>
          <t>Expedition</t>
        </is>
      </c>
      <c r="D314" s="8" t="n">
        <v>1</v>
      </c>
      <c r="E314" s="8" t="inlineStr">
        <is>
          <t>Bird Invasion</t>
        </is>
      </c>
      <c r="F314" s="8" t="inlineStr">
        <is>
          <t>Reduces the Lethality of every enemy troop.</t>
        </is>
      </c>
      <c r="G314" s="8" t="inlineStr">
        <is>
          <t>Enemy Lethality reduction</t>
        </is>
      </c>
      <c r="H314" s="13" t="inlineStr">
        <is>
          <t>4%</t>
        </is>
      </c>
      <c r="I314" s="13" t="inlineStr">
        <is>
          <t>8%</t>
        </is>
      </c>
      <c r="J314" s="13" t="inlineStr">
        <is>
          <t>12%</t>
        </is>
      </c>
      <c r="K314" s="13" t="inlineStr">
        <is>
          <t>16%</t>
        </is>
      </c>
      <c r="L314" s="13" t="inlineStr">
        <is>
          <t>20%</t>
        </is>
      </c>
    </row>
    <row r="315">
      <c r="A315" s="8" t="inlineStr">
        <is>
          <t>Lloyd</t>
        </is>
      </c>
      <c r="B315" s="8" t="n">
        <v>11</v>
      </c>
      <c r="C315" s="8" t="inlineStr">
        <is>
          <t>Expedition</t>
        </is>
      </c>
      <c r="D315" s="8" t="n">
        <v>2</v>
      </c>
      <c r="E315" s="8" t="inlineStr">
        <is>
          <t>Iceflare Bomb</t>
        </is>
      </c>
      <c r="F315" s="8" t="inlineStr">
        <is>
          <t>Every 3 turns a bomb boosts your Lancers' Attack and lowers enemy Lethality for 1 turn.</t>
        </is>
      </c>
      <c r="G315" s="8" t="inlineStr">
        <is>
          <t>Lancer Attack bonus</t>
        </is>
      </c>
      <c r="H315" s="13" t="inlineStr">
        <is>
          <t>30%</t>
        </is>
      </c>
      <c r="I315" s="13" t="inlineStr">
        <is>
          <t>60%</t>
        </is>
      </c>
      <c r="J315" s="13" t="inlineStr">
        <is>
          <t>90%</t>
        </is>
      </c>
      <c r="K315" s="13" t="inlineStr">
        <is>
          <t>120%</t>
        </is>
      </c>
      <c r="L315" s="13" t="inlineStr">
        <is>
          <t>150%</t>
        </is>
      </c>
    </row>
    <row r="316">
      <c r="A316" s="8" t="inlineStr">
        <is>
          <t>Lloyd</t>
        </is>
      </c>
      <c r="B316" s="8" t="n">
        <v>11</v>
      </c>
      <c r="C316" s="8" t="inlineStr">
        <is>
          <t>Expedition</t>
        </is>
      </c>
      <c r="D316" s="8" t="n">
        <v>2</v>
      </c>
      <c r="E316" s="8" t="inlineStr">
        <is>
          <t>Iceflare Bomb</t>
        </is>
      </c>
      <c r="F316" s="8" t="inlineStr">
        <is>
          <t>Every 3 turns a bomb boosts your Lancers' Attack and lowers enemy Lethality for 1 turn.</t>
        </is>
      </c>
      <c r="G316" s="8" t="inlineStr">
        <is>
          <t>Enemy Lethality reduction</t>
        </is>
      </c>
      <c r="H316" s="13" t="inlineStr">
        <is>
          <t>6%</t>
        </is>
      </c>
      <c r="I316" s="13" t="inlineStr">
        <is>
          <t>12%</t>
        </is>
      </c>
      <c r="J316" s="13" t="inlineStr">
        <is>
          <t>18%</t>
        </is>
      </c>
      <c r="K316" s="13" t="inlineStr">
        <is>
          <t>24%</t>
        </is>
      </c>
      <c r="L316" s="13" t="inlineStr">
        <is>
          <t>30%</t>
        </is>
      </c>
    </row>
    <row r="317">
      <c r="A317" s="8" t="inlineStr">
        <is>
          <t>Lloyd</t>
        </is>
      </c>
      <c r="B317" s="8" t="n">
        <v>11</v>
      </c>
      <c r="C317" s="8" t="inlineStr">
        <is>
          <t>Expedition</t>
        </is>
      </c>
      <c r="D317" s="8" t="n">
        <v>3</v>
      </c>
      <c r="E317" s="8" t="inlineStr">
        <is>
          <t>Ingenious Mastery</t>
        </is>
      </c>
      <c r="F317" s="8" t="inlineStr">
        <is>
          <t>40% chance to raise the Lethality of your whole squad.</t>
        </is>
      </c>
      <c r="G317" s="8" t="inlineStr">
        <is>
          <t>Lethality bonus on proc</t>
        </is>
      </c>
      <c r="H317" s="13" t="inlineStr">
        <is>
          <t>10%</t>
        </is>
      </c>
      <c r="I317" s="13" t="inlineStr">
        <is>
          <t>20%</t>
        </is>
      </c>
      <c r="J317" s="13" t="inlineStr">
        <is>
          <t>30%</t>
        </is>
      </c>
      <c r="K317" s="13" t="inlineStr">
        <is>
          <t>40%</t>
        </is>
      </c>
      <c r="L317" s="13" t="inlineStr">
        <is>
          <t>50%</t>
        </is>
      </c>
    </row>
    <row r="318">
      <c r="A318" s="8" t="inlineStr">
        <is>
          <t>Rufus</t>
        </is>
      </c>
      <c r="B318" s="8" t="n">
        <v>11</v>
      </c>
      <c r="C318" s="8" t="inlineStr">
        <is>
          <t>Exploration</t>
        </is>
      </c>
      <c r="D318" s="8" t="n">
        <v>1</v>
      </c>
      <c r="E318" s="8" t="inlineStr">
        <is>
          <t>Starfall Impact</t>
        </is>
      </c>
      <c r="F318" s="8" t="inlineStr">
        <is>
          <t>Meteor-style grenades deal area damage and set the ground on fire for 2 seconds.</t>
        </is>
      </c>
      <c r="G318" s="8" t="inlineStr">
        <is>
          <t>Impact damage (x Attack)</t>
        </is>
      </c>
      <c r="H318" s="13" t="inlineStr">
        <is>
          <t>200%</t>
        </is>
      </c>
      <c r="I318" s="13" t="inlineStr">
        <is>
          <t>220%</t>
        </is>
      </c>
      <c r="J318" s="13" t="inlineStr">
        <is>
          <t>240%</t>
        </is>
      </c>
      <c r="K318" s="13" t="inlineStr">
        <is>
          <t>260%</t>
        </is>
      </c>
      <c r="L318" s="13" t="inlineStr">
        <is>
          <t>280%</t>
        </is>
      </c>
    </row>
    <row r="319">
      <c r="A319" s="8" t="inlineStr">
        <is>
          <t>Rufus</t>
        </is>
      </c>
      <c r="B319" s="8" t="n">
        <v>11</v>
      </c>
      <c r="C319" s="8" t="inlineStr">
        <is>
          <t>Exploration</t>
        </is>
      </c>
      <c r="D319" s="8" t="n">
        <v>1</v>
      </c>
      <c r="E319" s="8" t="inlineStr">
        <is>
          <t>Starfall Impact</t>
        </is>
      </c>
      <c r="F319" s="8" t="inlineStr">
        <is>
          <t>Meteor-style grenades deal area damage and set the ground on fire for 2 seconds.</t>
        </is>
      </c>
      <c r="G319" s="8" t="inlineStr">
        <is>
          <t>Burn damage per tick (x Attack)</t>
        </is>
      </c>
      <c r="H319" s="13" t="inlineStr">
        <is>
          <t>20%</t>
        </is>
      </c>
      <c r="I319" s="13" t="inlineStr">
        <is>
          <t>22.5%</t>
        </is>
      </c>
      <c r="J319" s="13" t="inlineStr">
        <is>
          <t>25%</t>
        </is>
      </c>
      <c r="K319" s="13" t="inlineStr">
        <is>
          <t>27.5%</t>
        </is>
      </c>
      <c r="L319" s="13" t="inlineStr">
        <is>
          <t>30%</t>
        </is>
      </c>
    </row>
    <row r="320">
      <c r="A320" s="8" t="inlineStr">
        <is>
          <t>Rufus</t>
        </is>
      </c>
      <c r="B320" s="8" t="n">
        <v>11</v>
      </c>
      <c r="C320" s="8" t="inlineStr">
        <is>
          <t>Exploration</t>
        </is>
      </c>
      <c r="D320" s="8" t="n">
        <v>2</v>
      </c>
      <c r="E320" s="8" t="inlineStr">
        <is>
          <t>Splinter Blast</t>
        </is>
      </c>
      <c r="F320" s="8" t="inlineStr">
        <is>
          <t>Explosive rounds hit the target, and splinters hurt enemies nearby.</t>
        </is>
      </c>
      <c r="G320" s="8" t="inlineStr">
        <is>
          <t>Target damage (x Attack)</t>
        </is>
      </c>
      <c r="H320" s="13" t="inlineStr">
        <is>
          <t>100%</t>
        </is>
      </c>
      <c r="I320" s="13" t="inlineStr">
        <is>
          <t>110%</t>
        </is>
      </c>
      <c r="J320" s="13" t="inlineStr">
        <is>
          <t>120%</t>
        </is>
      </c>
      <c r="K320" s="13" t="inlineStr">
        <is>
          <t>130%</t>
        </is>
      </c>
      <c r="L320" s="13" t="inlineStr">
        <is>
          <t>140%</t>
        </is>
      </c>
    </row>
    <row r="321">
      <c r="A321" s="8" t="inlineStr">
        <is>
          <t>Rufus</t>
        </is>
      </c>
      <c r="B321" s="8" t="n">
        <v>11</v>
      </c>
      <c r="C321" s="8" t="inlineStr">
        <is>
          <t>Exploration</t>
        </is>
      </c>
      <c r="D321" s="8" t="n">
        <v>2</v>
      </c>
      <c r="E321" s="8" t="inlineStr">
        <is>
          <t>Splinter Blast</t>
        </is>
      </c>
      <c r="F321" s="8" t="inlineStr">
        <is>
          <t>Explosive rounds hit the target, and splinters hurt enemies nearby.</t>
        </is>
      </c>
      <c r="G321" s="8" t="inlineStr">
        <is>
          <t>Splinter damage (x Attack)</t>
        </is>
      </c>
      <c r="H321" s="13" t="inlineStr">
        <is>
          <t>50%</t>
        </is>
      </c>
      <c r="I321" s="13" t="inlineStr">
        <is>
          <t>55%</t>
        </is>
      </c>
      <c r="J321" s="13" t="inlineStr">
        <is>
          <t>60%</t>
        </is>
      </c>
      <c r="K321" s="13" t="inlineStr">
        <is>
          <t>65%</t>
        </is>
      </c>
      <c r="L321" s="13" t="inlineStr">
        <is>
          <t>70%</t>
        </is>
      </c>
    </row>
    <row r="322">
      <c r="A322" s="8" t="inlineStr">
        <is>
          <t>Rufus</t>
        </is>
      </c>
      <c r="B322" s="8" t="n">
        <v>11</v>
      </c>
      <c r="C322" s="8" t="inlineStr">
        <is>
          <t>Exploration</t>
        </is>
      </c>
      <c r="D322" s="8" t="n">
        <v>3</v>
      </c>
      <c r="E322" s="8" t="inlineStr">
        <is>
          <t>Raging Fury</t>
        </is>
      </c>
      <c r="F322" s="8" t="inlineStr">
        <is>
          <t>Adds Crit Rate.</t>
        </is>
      </c>
      <c r="G322" s="8" t="inlineStr">
        <is>
          <t>Crit Rate</t>
        </is>
      </c>
      <c r="H322" s="13" t="inlineStr">
        <is>
          <t>7%</t>
        </is>
      </c>
      <c r="I322" s="13" t="inlineStr">
        <is>
          <t>10%</t>
        </is>
      </c>
      <c r="J322" s="13" t="inlineStr">
        <is>
          <t>13%</t>
        </is>
      </c>
      <c r="K322" s="13" t="inlineStr">
        <is>
          <t>16%</t>
        </is>
      </c>
      <c r="L322" s="13" t="inlineStr">
        <is>
          <t>20%</t>
        </is>
      </c>
    </row>
    <row r="323">
      <c r="A323" s="8" t="inlineStr">
        <is>
          <t>Rufus</t>
        </is>
      </c>
      <c r="B323" s="8" t="n">
        <v>11</v>
      </c>
      <c r="C323" s="8" t="inlineStr">
        <is>
          <t>Expedition</t>
        </is>
      </c>
      <c r="D323" s="8" t="n">
        <v>1</v>
      </c>
      <c r="E323" s="8" t="inlineStr">
        <is>
          <t>Inferno Regiment</t>
        </is>
      </c>
      <c r="F323" s="8" t="inlineStr">
        <is>
          <t>Raises the Attack of every troop in your squad.</t>
        </is>
      </c>
      <c r="G323" s="8" t="inlineStr">
        <is>
          <t>Attack bonus</t>
        </is>
      </c>
      <c r="H323" s="13" t="inlineStr">
        <is>
          <t>5%</t>
        </is>
      </c>
      <c r="I323" s="13" t="inlineStr">
        <is>
          <t>10%</t>
        </is>
      </c>
      <c r="J323" s="13" t="inlineStr">
        <is>
          <t>15%</t>
        </is>
      </c>
      <c r="K323" s="13" t="inlineStr">
        <is>
          <t>20%</t>
        </is>
      </c>
      <c r="L323" s="13" t="inlineStr">
        <is>
          <t>25%</t>
        </is>
      </c>
    </row>
    <row r="324">
      <c r="A324" s="8" t="inlineStr">
        <is>
          <t>Rufus</t>
        </is>
      </c>
      <c r="B324" s="8" t="n">
        <v>11</v>
      </c>
      <c r="C324" s="8" t="inlineStr">
        <is>
          <t>Expedition</t>
        </is>
      </c>
      <c r="D324" s="8" t="n">
        <v>2</v>
      </c>
      <c r="E324" s="8" t="inlineStr">
        <is>
          <t>Armor Crush</t>
        </is>
      </c>
      <c r="F324" s="8" t="inlineStr">
        <is>
          <t>His Marksmen deal extra damage with every attack and make the target take more damage for 1 turn.</t>
        </is>
      </c>
      <c r="G324" s="8" t="inlineStr">
        <is>
          <t>Marksman bonus damage</t>
        </is>
      </c>
      <c r="H324" s="13" t="inlineStr">
        <is>
          <t>12%</t>
        </is>
      </c>
      <c r="I324" s="13" t="inlineStr">
        <is>
          <t>24%</t>
        </is>
      </c>
      <c r="J324" s="13" t="inlineStr">
        <is>
          <t>36%</t>
        </is>
      </c>
      <c r="K324" s="13" t="inlineStr">
        <is>
          <t>48%</t>
        </is>
      </c>
      <c r="L324" s="13" t="inlineStr">
        <is>
          <t>60%</t>
        </is>
      </c>
    </row>
    <row r="325">
      <c r="A325" s="8" t="inlineStr">
        <is>
          <t>Rufus</t>
        </is>
      </c>
      <c r="B325" s="8" t="n">
        <v>11</v>
      </c>
      <c r="C325" s="8" t="inlineStr">
        <is>
          <t>Expedition</t>
        </is>
      </c>
      <c r="D325" s="8" t="n">
        <v>2</v>
      </c>
      <c r="E325" s="8" t="inlineStr">
        <is>
          <t>Armor Crush</t>
        </is>
      </c>
      <c r="F325" s="8" t="inlineStr">
        <is>
          <t>His Marksmen deal extra damage with every attack and make the target take more damage for 1 turn.</t>
        </is>
      </c>
      <c r="G325" s="8" t="inlineStr">
        <is>
          <t>Extra damage taken</t>
        </is>
      </c>
      <c r="H325" s="13" t="inlineStr">
        <is>
          <t>5%</t>
        </is>
      </c>
      <c r="I325" s="13" t="inlineStr">
        <is>
          <t>10%</t>
        </is>
      </c>
      <c r="J325" s="13" t="inlineStr">
        <is>
          <t>15%</t>
        </is>
      </c>
      <c r="K325" s="13" t="inlineStr">
        <is>
          <t>20%</t>
        </is>
      </c>
      <c r="L325" s="13" t="inlineStr">
        <is>
          <t>25%</t>
        </is>
      </c>
    </row>
    <row r="326">
      <c r="A326" s="8" t="inlineStr">
        <is>
          <t>Rufus</t>
        </is>
      </c>
      <c r="B326" s="8" t="n">
        <v>11</v>
      </c>
      <c r="C326" s="8" t="inlineStr">
        <is>
          <t>Expedition</t>
        </is>
      </c>
      <c r="D326" s="8" t="n">
        <v>3</v>
      </c>
      <c r="E326" s="8" t="inlineStr">
        <is>
          <t>Wrathful Quake</t>
        </is>
      </c>
      <c r="F326" s="8" t="inlineStr">
        <is>
          <t>Your troops have a 20% chance to intimidate the enemy and lower their Lethality for 2 turns.</t>
        </is>
      </c>
      <c r="G326" s="8" t="inlineStr">
        <is>
          <t>Enemy Lethality reduction</t>
        </is>
      </c>
      <c r="H326" s="13" t="inlineStr">
        <is>
          <t>10%</t>
        </is>
      </c>
      <c r="I326" s="13" t="inlineStr">
        <is>
          <t>20%</t>
        </is>
      </c>
      <c r="J326" s="13" t="inlineStr">
        <is>
          <t>30%</t>
        </is>
      </c>
      <c r="K326" s="13" t="inlineStr">
        <is>
          <t>40%</t>
        </is>
      </c>
      <c r="L326" s="13" t="inlineStr">
        <is>
          <t>50%</t>
        </is>
      </c>
    </row>
    <row r="327">
      <c r="A327" s="8" t="inlineStr">
        <is>
          <t>Hervor</t>
        </is>
      </c>
      <c r="B327" s="8" t="n">
        <v>12</v>
      </c>
      <c r="C327" s="8" t="inlineStr">
        <is>
          <t>Exploration</t>
        </is>
      </c>
      <c r="D327" s="8" t="n">
        <v>1</v>
      </c>
      <c r="E327" s="8" t="inlineStr">
        <is>
          <t>Earthmover</t>
        </is>
      </c>
      <c r="F327" s="8" t="inlineStr">
        <is>
          <t>A thunderous hammer strike that damages the front line, stuns for 1 second and cuts enemy Attack by 25% for 3 seconds.</t>
        </is>
      </c>
      <c r="G327" s="8" t="inlineStr">
        <is>
          <t>Damage (x Attack)</t>
        </is>
      </c>
      <c r="H327" s="13" t="inlineStr">
        <is>
          <t>100%</t>
        </is>
      </c>
      <c r="I327" s="13" t="inlineStr">
        <is>
          <t>110%</t>
        </is>
      </c>
      <c r="J327" s="13" t="inlineStr">
        <is>
          <t>120%</t>
        </is>
      </c>
      <c r="K327" s="13" t="inlineStr">
        <is>
          <t>130%</t>
        </is>
      </c>
      <c r="L327" s="13" t="inlineStr">
        <is>
          <t>140%</t>
        </is>
      </c>
    </row>
    <row r="328">
      <c r="A328" s="8" t="inlineStr">
        <is>
          <t>Hervor</t>
        </is>
      </c>
      <c r="B328" s="8" t="n">
        <v>12</v>
      </c>
      <c r="C328" s="8" t="inlineStr">
        <is>
          <t>Exploration</t>
        </is>
      </c>
      <c r="D328" s="8" t="n">
        <v>2</v>
      </c>
      <c r="E328" s="8" t="inlineStr">
        <is>
          <t>Mountain Strength</t>
        </is>
      </c>
      <c r="F328" s="8" t="inlineStr">
        <is>
          <t>Normal attacks can intimidate enemies so they take extra damage. It stacks up to 3 times.</t>
        </is>
      </c>
      <c r="G328" s="8" t="inlineStr">
        <is>
          <t>Proc chance</t>
        </is>
      </c>
      <c r="H328" s="13" t="inlineStr">
        <is>
          <t>5%</t>
        </is>
      </c>
      <c r="I328" s="13" t="inlineStr">
        <is>
          <t>10%</t>
        </is>
      </c>
      <c r="J328" s="13" t="inlineStr">
        <is>
          <t>15%</t>
        </is>
      </c>
      <c r="K328" s="13" t="inlineStr">
        <is>
          <t>20%</t>
        </is>
      </c>
      <c r="L328" s="13" t="inlineStr">
        <is>
          <t>25%</t>
        </is>
      </c>
    </row>
    <row r="329">
      <c r="A329" s="8" t="inlineStr">
        <is>
          <t>Hervor</t>
        </is>
      </c>
      <c r="B329" s="8" t="n">
        <v>12</v>
      </c>
      <c r="C329" s="8" t="inlineStr">
        <is>
          <t>Exploration</t>
        </is>
      </c>
      <c r="D329" s="8" t="n">
        <v>2</v>
      </c>
      <c r="E329" s="8" t="inlineStr">
        <is>
          <t>Mountain Strength</t>
        </is>
      </c>
      <c r="F329" s="8" t="inlineStr">
        <is>
          <t>Normal attacks can intimidate enemies so they take extra damage. It stacks up to 3 times.</t>
        </is>
      </c>
      <c r="G329" s="8" t="inlineStr">
        <is>
          <t>Extra damage taken per stack</t>
        </is>
      </c>
      <c r="H329" s="13" t="inlineStr">
        <is>
          <t>3%</t>
        </is>
      </c>
      <c r="I329" s="13" t="inlineStr">
        <is>
          <t>6%</t>
        </is>
      </c>
      <c r="J329" s="13" t="inlineStr">
        <is>
          <t>9%</t>
        </is>
      </c>
      <c r="K329" s="13" t="inlineStr">
        <is>
          <t>12%</t>
        </is>
      </c>
      <c r="L329" s="13" t="inlineStr">
        <is>
          <t>15%</t>
        </is>
      </c>
    </row>
    <row r="330">
      <c r="A330" s="8" t="inlineStr">
        <is>
          <t>Hervor</t>
        </is>
      </c>
      <c r="B330" s="8" t="n">
        <v>12</v>
      </c>
      <c r="C330" s="8" t="inlineStr">
        <is>
          <t>Exploration</t>
        </is>
      </c>
      <c r="D330" s="8" t="n">
        <v>3</v>
      </c>
      <c r="E330" s="8" t="inlineStr">
        <is>
          <t>Stone Arms</t>
        </is>
      </c>
      <c r="F330" s="8" t="inlineStr">
        <is>
          <t>She takes less damage, and is immune to stun, paralysis and freeze for the first 9 seconds of a fight.</t>
        </is>
      </c>
      <c r="G330" s="8" t="inlineStr">
        <is>
          <t>Damage taken reduction</t>
        </is>
      </c>
      <c r="H330" s="13" t="inlineStr">
        <is>
          <t>5%</t>
        </is>
      </c>
      <c r="I330" s="13" t="inlineStr">
        <is>
          <t>10%</t>
        </is>
      </c>
      <c r="J330" s="13" t="inlineStr">
        <is>
          <t>15%</t>
        </is>
      </c>
      <c r="K330" s="13" t="inlineStr">
        <is>
          <t>20%</t>
        </is>
      </c>
      <c r="L330" s="13" t="inlineStr">
        <is>
          <t>25%</t>
        </is>
      </c>
    </row>
    <row r="331">
      <c r="A331" s="8" t="inlineStr">
        <is>
          <t>Hervor</t>
        </is>
      </c>
      <c r="B331" s="8" t="n">
        <v>12</v>
      </c>
      <c r="C331" s="8" t="inlineStr">
        <is>
          <t>Expedition</t>
        </is>
      </c>
      <c r="D331" s="8" t="n">
        <v>1</v>
      </c>
      <c r="E331" s="8" t="inlineStr">
        <is>
          <t>Call For Blood</t>
        </is>
      </c>
      <c r="F331" s="8" t="inlineStr">
        <is>
          <t>Raises the Lethality of every troop in your squad.</t>
        </is>
      </c>
      <c r="G331" s="8" t="inlineStr">
        <is>
          <t>Lethality bonus</t>
        </is>
      </c>
      <c r="H331" s="13" t="inlineStr">
        <is>
          <t>5%</t>
        </is>
      </c>
      <c r="I331" s="13" t="inlineStr">
        <is>
          <t>10%</t>
        </is>
      </c>
      <c r="J331" s="13" t="inlineStr">
        <is>
          <t>15%</t>
        </is>
      </c>
      <c r="K331" s="13" t="inlineStr">
        <is>
          <t>20%</t>
        </is>
      </c>
      <c r="L331" s="13" t="inlineStr">
        <is>
          <t>25%</t>
        </is>
      </c>
    </row>
    <row r="332">
      <c r="A332" s="8" t="inlineStr">
        <is>
          <t>Hervor</t>
        </is>
      </c>
      <c r="B332" s="8" t="n">
        <v>12</v>
      </c>
      <c r="C332" s="8" t="inlineStr">
        <is>
          <t>Expedition</t>
        </is>
      </c>
      <c r="D332" s="8" t="n">
        <v>2</v>
      </c>
      <c r="E332" s="8" t="inlineStr">
        <is>
          <t>Undying</t>
        </is>
      </c>
      <c r="F332" s="8" t="inlineStr">
        <is>
          <t>Cuts the damage your Infantry take, more against enemy skills than normal attacks.</t>
        </is>
      </c>
      <c r="G332" s="8" t="inlineStr">
        <is>
          <t>Normal attack reduction</t>
        </is>
      </c>
      <c r="H332" s="13" t="inlineStr">
        <is>
          <t>5%</t>
        </is>
      </c>
      <c r="I332" s="13" t="inlineStr">
        <is>
          <t>10%</t>
        </is>
      </c>
      <c r="J332" s="13" t="inlineStr">
        <is>
          <t>15%</t>
        </is>
      </c>
      <c r="K332" s="13" t="inlineStr">
        <is>
          <t>20%</t>
        </is>
      </c>
      <c r="L332" s="13" t="inlineStr">
        <is>
          <t>25%</t>
        </is>
      </c>
    </row>
    <row r="333">
      <c r="A333" s="8" t="inlineStr">
        <is>
          <t>Hervor</t>
        </is>
      </c>
      <c r="B333" s="8" t="n">
        <v>12</v>
      </c>
      <c r="C333" s="8" t="inlineStr">
        <is>
          <t>Expedition</t>
        </is>
      </c>
      <c r="D333" s="8" t="n">
        <v>2</v>
      </c>
      <c r="E333" s="8" t="inlineStr">
        <is>
          <t>Undying</t>
        </is>
      </c>
      <c r="F333" s="8" t="inlineStr">
        <is>
          <t>Cuts the damage your Infantry take, more against enemy skills than normal attacks.</t>
        </is>
      </c>
      <c r="G333" s="8" t="inlineStr">
        <is>
          <t>Skill damage reduction</t>
        </is>
      </c>
      <c r="H333" s="13" t="inlineStr">
        <is>
          <t>6%</t>
        </is>
      </c>
      <c r="I333" s="13" t="inlineStr">
        <is>
          <t>12%</t>
        </is>
      </c>
      <c r="J333" s="13" t="inlineStr">
        <is>
          <t>18%</t>
        </is>
      </c>
      <c r="K333" s="13" t="inlineStr">
        <is>
          <t>24%</t>
        </is>
      </c>
      <c r="L333" s="13" t="inlineStr">
        <is>
          <t>30%</t>
        </is>
      </c>
    </row>
    <row r="334">
      <c r="A334" s="8" t="inlineStr">
        <is>
          <t>Hervor</t>
        </is>
      </c>
      <c r="B334" s="8" t="n">
        <v>12</v>
      </c>
      <c r="C334" s="8" t="inlineStr">
        <is>
          <t>Expedition</t>
        </is>
      </c>
      <c r="D334" s="8" t="n">
        <v>3</v>
      </c>
      <c r="E334" s="8" t="inlineStr">
        <is>
          <t>Battlethirsty</t>
        </is>
      </c>
      <c r="F334" s="8" t="inlineStr">
        <is>
          <t>Your Infantry take less damage and deal more.</t>
        </is>
      </c>
      <c r="G334" s="8" t="inlineStr">
        <is>
          <t>Damage taken reduction</t>
        </is>
      </c>
      <c r="H334" s="13" t="inlineStr">
        <is>
          <t>3%</t>
        </is>
      </c>
      <c r="I334" s="13" t="inlineStr">
        <is>
          <t>6%</t>
        </is>
      </c>
      <c r="J334" s="13" t="inlineStr">
        <is>
          <t>9%</t>
        </is>
      </c>
      <c r="K334" s="13" t="inlineStr">
        <is>
          <t>12%</t>
        </is>
      </c>
      <c r="L334" s="13" t="inlineStr">
        <is>
          <t>15%</t>
        </is>
      </c>
    </row>
    <row r="335">
      <c r="A335" s="8" t="inlineStr">
        <is>
          <t>Hervor</t>
        </is>
      </c>
      <c r="B335" s="8" t="n">
        <v>12</v>
      </c>
      <c r="C335" s="8" t="inlineStr">
        <is>
          <t>Expedition</t>
        </is>
      </c>
      <c r="D335" s="8" t="n">
        <v>3</v>
      </c>
      <c r="E335" s="8" t="inlineStr">
        <is>
          <t>Battlethirsty</t>
        </is>
      </c>
      <c r="F335" s="8" t="inlineStr">
        <is>
          <t>Your Infantry take less damage and deal more.</t>
        </is>
      </c>
      <c r="G335" s="8" t="inlineStr">
        <is>
          <t>Damage dealt bonus</t>
        </is>
      </c>
      <c r="H335" s="13" t="inlineStr">
        <is>
          <t>2%</t>
        </is>
      </c>
      <c r="I335" s="13" t="inlineStr">
        <is>
          <t>4%</t>
        </is>
      </c>
      <c r="J335" s="13" t="inlineStr">
        <is>
          <t>6%</t>
        </is>
      </c>
      <c r="K335" s="13" t="inlineStr">
        <is>
          <t>8%</t>
        </is>
      </c>
      <c r="L335" s="13" t="inlineStr">
        <is>
          <t>10%</t>
        </is>
      </c>
    </row>
    <row r="336">
      <c r="A336" s="8" t="inlineStr">
        <is>
          <t>Karol</t>
        </is>
      </c>
      <c r="B336" s="8" t="n">
        <v>12</v>
      </c>
      <c r="C336" s="8" t="inlineStr">
        <is>
          <t>Exploration</t>
        </is>
      </c>
      <c r="D336" s="8" t="n">
        <v>1</v>
      </c>
      <c r="E336" s="8" t="inlineStr">
        <is>
          <t>Dawn Charge</t>
        </is>
      </c>
      <c r="F336" s="8" t="inlineStr">
        <is>
          <t>A cavalry charge that deals area damage to the front line and lowers their Defense for 2 seconds.</t>
        </is>
      </c>
      <c r="G336" s="8" t="inlineStr">
        <is>
          <t>Area damage (x Attack)</t>
        </is>
      </c>
      <c r="H336" s="13" t="inlineStr">
        <is>
          <t>200%</t>
        </is>
      </c>
      <c r="I336" s="13" t="inlineStr">
        <is>
          <t>220%</t>
        </is>
      </c>
      <c r="J336" s="13" t="inlineStr">
        <is>
          <t>240%</t>
        </is>
      </c>
      <c r="K336" s="13" t="inlineStr">
        <is>
          <t>260%</t>
        </is>
      </c>
      <c r="L336" s="13" t="inlineStr">
        <is>
          <t>280%</t>
        </is>
      </c>
    </row>
    <row r="337">
      <c r="A337" s="8" t="inlineStr">
        <is>
          <t>Karol</t>
        </is>
      </c>
      <c r="B337" s="8" t="n">
        <v>12</v>
      </c>
      <c r="C337" s="8" t="inlineStr">
        <is>
          <t>Exploration</t>
        </is>
      </c>
      <c r="D337" s="8" t="n">
        <v>1</v>
      </c>
      <c r="E337" s="8" t="inlineStr">
        <is>
          <t>Dawn Charge</t>
        </is>
      </c>
      <c r="F337" s="8" t="inlineStr">
        <is>
          <t>A cavalry charge that deals area damage to the front line and lowers their Defense for 2 seconds.</t>
        </is>
      </c>
      <c r="G337" s="8" t="inlineStr">
        <is>
          <t>Defense reduction</t>
        </is>
      </c>
      <c r="H337" s="13" t="inlineStr">
        <is>
          <t>5%</t>
        </is>
      </c>
      <c r="I337" s="13" t="inlineStr">
        <is>
          <t>10%</t>
        </is>
      </c>
      <c r="J337" s="13" t="inlineStr">
        <is>
          <t>15%</t>
        </is>
      </c>
      <c r="K337" s="13" t="inlineStr">
        <is>
          <t>20%</t>
        </is>
      </c>
      <c r="L337" s="13" t="inlineStr">
        <is>
          <t>25%</t>
        </is>
      </c>
    </row>
    <row r="338">
      <c r="A338" s="8" t="inlineStr">
        <is>
          <t>Karol</t>
        </is>
      </c>
      <c r="B338" s="8" t="n">
        <v>12</v>
      </c>
      <c r="C338" s="8" t="inlineStr">
        <is>
          <t>Exploration</t>
        </is>
      </c>
      <c r="D338" s="8" t="n">
        <v>2</v>
      </c>
      <c r="E338" s="8" t="inlineStr">
        <is>
          <t>Bristling Strike</t>
        </is>
      </c>
      <c r="F338" s="8" t="inlineStr">
        <is>
          <t>A rapid flurry of strikes on enemies in an area.</t>
        </is>
      </c>
      <c r="G338" s="8" t="inlineStr">
        <is>
          <t>Damage (x Attack)</t>
        </is>
      </c>
      <c r="H338" s="13" t="inlineStr">
        <is>
          <t>100%</t>
        </is>
      </c>
      <c r="I338" s="13" t="inlineStr">
        <is>
          <t>110%</t>
        </is>
      </c>
      <c r="J338" s="13" t="inlineStr">
        <is>
          <t>120%</t>
        </is>
      </c>
      <c r="K338" s="13" t="inlineStr">
        <is>
          <t>130%</t>
        </is>
      </c>
      <c r="L338" s="13" t="inlineStr">
        <is>
          <t>140%</t>
        </is>
      </c>
    </row>
    <row r="339">
      <c r="A339" s="8" t="inlineStr">
        <is>
          <t>Karol</t>
        </is>
      </c>
      <c r="B339" s="8" t="n">
        <v>12</v>
      </c>
      <c r="C339" s="8" t="inlineStr">
        <is>
          <t>Exploration</t>
        </is>
      </c>
      <c r="D339" s="8" t="n">
        <v>3</v>
      </c>
      <c r="E339" s="8" t="inlineStr">
        <is>
          <t>Soaring Victory</t>
        </is>
      </c>
      <c r="F339" s="8" t="inlineStr">
        <is>
          <t>Gains Attack for every fallen enemy hero and heals a little each time.</t>
        </is>
      </c>
      <c r="G339" s="8" t="inlineStr">
        <is>
          <t>Attack per fallen hero</t>
        </is>
      </c>
      <c r="H339" s="13" t="inlineStr">
        <is>
          <t>4%</t>
        </is>
      </c>
      <c r="I339" s="13" t="inlineStr">
        <is>
          <t>6%</t>
        </is>
      </c>
      <c r="J339" s="13" t="inlineStr">
        <is>
          <t>8%</t>
        </is>
      </c>
      <c r="K339" s="13" t="inlineStr">
        <is>
          <t>10%</t>
        </is>
      </c>
      <c r="L339" s="13" t="inlineStr">
        <is>
          <t>12%</t>
        </is>
      </c>
    </row>
    <row r="340">
      <c r="A340" s="8" t="inlineStr">
        <is>
          <t>Karol</t>
        </is>
      </c>
      <c r="B340" s="8" t="n">
        <v>12</v>
      </c>
      <c r="C340" s="8" t="inlineStr">
        <is>
          <t>Exploration</t>
        </is>
      </c>
      <c r="D340" s="8" t="n">
        <v>3</v>
      </c>
      <c r="E340" s="8" t="inlineStr">
        <is>
          <t>Soaring Victory</t>
        </is>
      </c>
      <c r="F340" s="8" t="inlineStr">
        <is>
          <t>Gains Attack for every fallen enemy hero and heals a little each time.</t>
        </is>
      </c>
      <c r="G340" s="8" t="inlineStr">
        <is>
          <t>Heal (% max Health)</t>
        </is>
      </c>
      <c r="H340" s="13" t="inlineStr">
        <is>
          <t>2%</t>
        </is>
      </c>
      <c r="I340" s="13" t="inlineStr">
        <is>
          <t>4%</t>
        </is>
      </c>
      <c r="J340" s="13" t="inlineStr">
        <is>
          <t>6%</t>
        </is>
      </c>
      <c r="K340" s="13" t="inlineStr">
        <is>
          <t>8%</t>
        </is>
      </c>
      <c r="L340" s="13" t="inlineStr">
        <is>
          <t>10%</t>
        </is>
      </c>
    </row>
    <row r="341">
      <c r="A341" s="8" t="inlineStr">
        <is>
          <t>Karol</t>
        </is>
      </c>
      <c r="B341" s="8" t="n">
        <v>12</v>
      </c>
      <c r="C341" s="8" t="inlineStr">
        <is>
          <t>Expedition</t>
        </is>
      </c>
      <c r="D341" s="8" t="n">
        <v>1</v>
      </c>
      <c r="E341" s="8" t="inlineStr">
        <is>
          <t>In the Wings</t>
        </is>
      </c>
      <c r="F341" s="8" t="inlineStr">
        <is>
          <t>Cuts the damage your whole squad takes.</t>
        </is>
      </c>
      <c r="G341" s="8" t="inlineStr">
        <is>
          <t>Damage taken reduction</t>
        </is>
      </c>
      <c r="H341" s="13" t="inlineStr">
        <is>
          <t>4%</t>
        </is>
      </c>
      <c r="I341" s="13" t="inlineStr">
        <is>
          <t>8%</t>
        </is>
      </c>
      <c r="J341" s="13" t="inlineStr">
        <is>
          <t>12%</t>
        </is>
      </c>
      <c r="K341" s="13" t="inlineStr">
        <is>
          <t>16%</t>
        </is>
      </c>
      <c r="L341" s="13" t="inlineStr">
        <is>
          <t>20%</t>
        </is>
      </c>
    </row>
    <row r="342">
      <c r="A342" s="8" t="inlineStr">
        <is>
          <t>Karol</t>
        </is>
      </c>
      <c r="B342" s="8" t="n">
        <v>12</v>
      </c>
      <c r="C342" s="8" t="inlineStr">
        <is>
          <t>Expedition</t>
        </is>
      </c>
      <c r="D342" s="8" t="n">
        <v>2</v>
      </c>
      <c r="E342" s="8" t="inlineStr">
        <is>
          <t>Shieldbreaker</t>
        </is>
      </c>
      <c r="F342" s="8" t="inlineStr">
        <is>
          <t>Boosts all your troops' damage against enemy Lancers and Infantry.</t>
        </is>
      </c>
      <c r="G342" s="8" t="inlineStr">
        <is>
          <t>Damage vs Lancers</t>
        </is>
      </c>
      <c r="H342" s="13" t="inlineStr">
        <is>
          <t>6%</t>
        </is>
      </c>
      <c r="I342" s="13" t="inlineStr">
        <is>
          <t>12%</t>
        </is>
      </c>
      <c r="J342" s="13" t="inlineStr">
        <is>
          <t>18%</t>
        </is>
      </c>
      <c r="K342" s="13" t="inlineStr">
        <is>
          <t>24%</t>
        </is>
      </c>
      <c r="L342" s="13" t="inlineStr">
        <is>
          <t>30%</t>
        </is>
      </c>
    </row>
    <row r="343">
      <c r="A343" s="8" t="inlineStr">
        <is>
          <t>Karol</t>
        </is>
      </c>
      <c r="B343" s="8" t="n">
        <v>12</v>
      </c>
      <c r="C343" s="8" t="inlineStr">
        <is>
          <t>Expedition</t>
        </is>
      </c>
      <c r="D343" s="8" t="n">
        <v>2</v>
      </c>
      <c r="E343" s="8" t="inlineStr">
        <is>
          <t>Shieldbreaker</t>
        </is>
      </c>
      <c r="F343" s="8" t="inlineStr">
        <is>
          <t>Boosts all your troops' damage against enemy Lancers and Infantry.</t>
        </is>
      </c>
      <c r="G343" s="8" t="inlineStr">
        <is>
          <t>Damage vs Infantry</t>
        </is>
      </c>
      <c r="H343" s="13" t="inlineStr">
        <is>
          <t>5%</t>
        </is>
      </c>
      <c r="I343" s="13" t="inlineStr">
        <is>
          <t>10%</t>
        </is>
      </c>
      <c r="J343" s="13" t="inlineStr">
        <is>
          <t>15%</t>
        </is>
      </c>
      <c r="K343" s="13" t="inlineStr">
        <is>
          <t>20%</t>
        </is>
      </c>
      <c r="L343" s="13" t="inlineStr">
        <is>
          <t>25%</t>
        </is>
      </c>
    </row>
    <row r="344">
      <c r="A344" s="8" t="inlineStr">
        <is>
          <t>Karol</t>
        </is>
      </c>
      <c r="B344" s="8" t="n">
        <v>12</v>
      </c>
      <c r="C344" s="8" t="inlineStr">
        <is>
          <t>Expedition</t>
        </is>
      </c>
      <c r="D344" s="8" t="n">
        <v>3</v>
      </c>
      <c r="E344" s="8" t="inlineStr">
        <is>
          <t>Standard of Ages</t>
        </is>
      </c>
      <c r="F344" s="8" t="inlineStr">
        <is>
          <t>Raises the Attack and Defense of every troop in your squad.</t>
        </is>
      </c>
      <c r="G344" s="8" t="inlineStr">
        <is>
          <t>Attack bonus</t>
        </is>
      </c>
      <c r="H344" s="13" t="inlineStr">
        <is>
          <t>3%</t>
        </is>
      </c>
      <c r="I344" s="13" t="inlineStr">
        <is>
          <t>6%</t>
        </is>
      </c>
      <c r="J344" s="13" t="inlineStr">
        <is>
          <t>9%</t>
        </is>
      </c>
      <c r="K344" s="13" t="inlineStr">
        <is>
          <t>12%</t>
        </is>
      </c>
      <c r="L344" s="13" t="inlineStr">
        <is>
          <t>15%</t>
        </is>
      </c>
    </row>
    <row r="345">
      <c r="A345" s="8" t="inlineStr">
        <is>
          <t>Karol</t>
        </is>
      </c>
      <c r="B345" s="8" t="n">
        <v>12</v>
      </c>
      <c r="C345" s="8" t="inlineStr">
        <is>
          <t>Expedition</t>
        </is>
      </c>
      <c r="D345" s="8" t="n">
        <v>3</v>
      </c>
      <c r="E345" s="8" t="inlineStr">
        <is>
          <t>Standard of Ages</t>
        </is>
      </c>
      <c r="F345" s="8" t="inlineStr">
        <is>
          <t>Raises the Attack and Defense of every troop in your squad.</t>
        </is>
      </c>
      <c r="G345" s="8" t="inlineStr">
        <is>
          <t>Defense bonus</t>
        </is>
      </c>
      <c r="H345" s="13" t="inlineStr">
        <is>
          <t>2%</t>
        </is>
      </c>
      <c r="I345" s="13" t="inlineStr">
        <is>
          <t>4%</t>
        </is>
      </c>
      <c r="J345" s="13" t="inlineStr">
        <is>
          <t>6%</t>
        </is>
      </c>
      <c r="K345" s="13" t="inlineStr">
        <is>
          <t>8%</t>
        </is>
      </c>
      <c r="L345" s="13" t="inlineStr">
        <is>
          <t>10%</t>
        </is>
      </c>
    </row>
    <row r="346">
      <c r="A346" s="8" t="inlineStr">
        <is>
          <t>Ligeia</t>
        </is>
      </c>
      <c r="B346" s="8" t="n">
        <v>12</v>
      </c>
      <c r="C346" s="8" t="inlineStr">
        <is>
          <t>Exploration</t>
        </is>
      </c>
      <c r="D346" s="8" t="n">
        <v>1</v>
      </c>
      <c r="E346" s="8" t="inlineStr">
        <is>
          <t>Acid Reflex</t>
        </is>
      </c>
      <c r="F346" s="8" t="inlineStr">
        <is>
          <t>Three mech-spiders lob acid for area damage and lower the target's Attack for 2 seconds.</t>
        </is>
      </c>
      <c r="G346" s="8" t="inlineStr">
        <is>
          <t>Area damage (x Attack)</t>
        </is>
      </c>
      <c r="H346" s="13" t="inlineStr">
        <is>
          <t>70%</t>
        </is>
      </c>
      <c r="I346" s="13" t="inlineStr">
        <is>
          <t>77%</t>
        </is>
      </c>
      <c r="J346" s="13" t="inlineStr">
        <is>
          <t>84%</t>
        </is>
      </c>
      <c r="K346" s="13" t="inlineStr">
        <is>
          <t>91%</t>
        </is>
      </c>
      <c r="L346" s="13" t="inlineStr">
        <is>
          <t>98%</t>
        </is>
      </c>
    </row>
    <row r="347">
      <c r="A347" s="8" t="inlineStr">
        <is>
          <t>Ligeia</t>
        </is>
      </c>
      <c r="B347" s="8" t="n">
        <v>12</v>
      </c>
      <c r="C347" s="8" t="inlineStr">
        <is>
          <t>Exploration</t>
        </is>
      </c>
      <c r="D347" s="8" t="n">
        <v>1</v>
      </c>
      <c r="E347" s="8" t="inlineStr">
        <is>
          <t>Acid Reflex</t>
        </is>
      </c>
      <c r="F347" s="8" t="inlineStr">
        <is>
          <t>Three mech-spiders lob acid for area damage and lower the target's Attack for 2 seconds.</t>
        </is>
      </c>
      <c r="G347" s="8" t="inlineStr">
        <is>
          <t>Attack reduction</t>
        </is>
      </c>
      <c r="H347" s="13" t="inlineStr">
        <is>
          <t>5%</t>
        </is>
      </c>
      <c r="I347" s="13" t="inlineStr">
        <is>
          <t>10%</t>
        </is>
      </c>
      <c r="J347" s="13" t="inlineStr">
        <is>
          <t>15%</t>
        </is>
      </c>
      <c r="K347" s="13" t="inlineStr">
        <is>
          <t>20%</t>
        </is>
      </c>
      <c r="L347" s="13" t="inlineStr">
        <is>
          <t>25%</t>
        </is>
      </c>
    </row>
    <row r="348">
      <c r="A348" s="8" t="inlineStr">
        <is>
          <t>Ligeia</t>
        </is>
      </c>
      <c r="B348" s="8" t="n">
        <v>12</v>
      </c>
      <c r="C348" s="8" t="inlineStr">
        <is>
          <t>Exploration</t>
        </is>
      </c>
      <c r="D348" s="8" t="n">
        <v>2</v>
      </c>
      <c r="E348" s="8" t="inlineStr">
        <is>
          <t>Spider Madam</t>
        </is>
      </c>
      <c r="F348" s="8" t="inlineStr">
        <is>
          <t>Lays a steel web with a chance to set a Resonance trap for 5 seconds that sends part of the damage she takes back to the target.</t>
        </is>
      </c>
      <c r="G348" s="8" t="inlineStr">
        <is>
          <t>Web damage (x Attack)</t>
        </is>
      </c>
      <c r="H348" s="13" t="inlineStr">
        <is>
          <t>50%</t>
        </is>
      </c>
      <c r="I348" s="13" t="inlineStr">
        <is>
          <t>55%</t>
        </is>
      </c>
      <c r="J348" s="13" t="inlineStr">
        <is>
          <t>60%</t>
        </is>
      </c>
      <c r="K348" s="13" t="inlineStr">
        <is>
          <t>65%</t>
        </is>
      </c>
      <c r="L348" s="13" t="inlineStr">
        <is>
          <t>70%</t>
        </is>
      </c>
    </row>
    <row r="349">
      <c r="A349" s="8" t="inlineStr">
        <is>
          <t>Ligeia</t>
        </is>
      </c>
      <c r="B349" s="8" t="n">
        <v>12</v>
      </c>
      <c r="C349" s="8" t="inlineStr">
        <is>
          <t>Exploration</t>
        </is>
      </c>
      <c r="D349" s="8" t="n">
        <v>2</v>
      </c>
      <c r="E349" s="8" t="inlineStr">
        <is>
          <t>Spider Madam</t>
        </is>
      </c>
      <c r="F349" s="8" t="inlineStr">
        <is>
          <t>Lays a steel web with a chance to set a Resonance trap for 5 seconds that sends part of the damage she takes back to the target.</t>
        </is>
      </c>
      <c r="G349" s="8" t="inlineStr">
        <is>
          <t>Trap chance</t>
        </is>
      </c>
      <c r="H349" s="13" t="inlineStr">
        <is>
          <t>20%</t>
        </is>
      </c>
      <c r="I349" s="13" t="inlineStr">
        <is>
          <t>40%</t>
        </is>
      </c>
      <c r="J349" s="13" t="inlineStr">
        <is>
          <t>60%</t>
        </is>
      </c>
      <c r="K349" s="13" t="inlineStr">
        <is>
          <t>80%</t>
        </is>
      </c>
      <c r="L349" s="13" t="inlineStr">
        <is>
          <t>100%</t>
        </is>
      </c>
    </row>
    <row r="350">
      <c r="A350" s="8" t="inlineStr">
        <is>
          <t>Ligeia</t>
        </is>
      </c>
      <c r="B350" s="8" t="n">
        <v>12</v>
      </c>
      <c r="C350" s="8" t="inlineStr">
        <is>
          <t>Exploration</t>
        </is>
      </c>
      <c r="D350" s="8" t="n">
        <v>3</v>
      </c>
      <c r="E350" s="8" t="inlineStr">
        <is>
          <t>Mechanical Teeth</t>
        </is>
      </c>
      <c r="F350" s="8" t="inlineStr">
        <is>
          <t>She can spend a Guard Spider to block a negative effect, which also gives her an Attack boost for 10 seconds. She builds up to 3 spiders, one every 10 seconds.</t>
        </is>
      </c>
      <c r="G350" s="8" t="inlineStr">
        <is>
          <t>Attack bonus</t>
        </is>
      </c>
      <c r="H350" s="13" t="inlineStr">
        <is>
          <t>8%</t>
        </is>
      </c>
      <c r="I350" s="13" t="inlineStr">
        <is>
          <t>12%</t>
        </is>
      </c>
      <c r="J350" s="13" t="inlineStr">
        <is>
          <t>16%</t>
        </is>
      </c>
      <c r="K350" s="13" t="inlineStr">
        <is>
          <t>20%</t>
        </is>
      </c>
      <c r="L350" s="13" t="inlineStr">
        <is>
          <t>24%</t>
        </is>
      </c>
    </row>
    <row r="351">
      <c r="A351" s="8" t="inlineStr">
        <is>
          <t>Ligeia</t>
        </is>
      </c>
      <c r="B351" s="8" t="n">
        <v>12</v>
      </c>
      <c r="C351" s="8" t="inlineStr">
        <is>
          <t>Expedition</t>
        </is>
      </c>
      <c r="D351" s="8" t="n">
        <v>1</v>
      </c>
      <c r="E351" s="8" t="inlineStr">
        <is>
          <t>Nerf Poison</t>
        </is>
      </c>
      <c r="F351" s="8" t="inlineStr">
        <is>
          <t>Lowers the Defense of every enemy troop.</t>
        </is>
      </c>
      <c r="G351" s="8" t="inlineStr">
        <is>
          <t>Enemy Defense reduction</t>
        </is>
      </c>
      <c r="H351" s="13" t="inlineStr">
        <is>
          <t>5%</t>
        </is>
      </c>
      <c r="I351" s="13" t="inlineStr">
        <is>
          <t>10%</t>
        </is>
      </c>
      <c r="J351" s="13" t="inlineStr">
        <is>
          <t>15%</t>
        </is>
      </c>
      <c r="K351" s="13" t="inlineStr">
        <is>
          <t>20%</t>
        </is>
      </c>
      <c r="L351" s="13" t="inlineStr">
        <is>
          <t>25%</t>
        </is>
      </c>
    </row>
    <row r="352">
      <c r="A352" s="8" t="inlineStr">
        <is>
          <t>Ligeia</t>
        </is>
      </c>
      <c r="B352" s="8" t="n">
        <v>12</v>
      </c>
      <c r="C352" s="8" t="inlineStr">
        <is>
          <t>Expedition</t>
        </is>
      </c>
      <c r="D352" s="8" t="n">
        <v>2</v>
      </c>
      <c r="E352" s="8" t="inlineStr">
        <is>
          <t>Corrosion</t>
        </is>
      </c>
      <c r="F352" s="8" t="inlineStr">
        <is>
          <t>Every 2 attacks her Marksmen deal extra damage and the target takes more damage for 1 turn.</t>
        </is>
      </c>
      <c r="G352" s="8" t="inlineStr">
        <is>
          <t>Marksman bonus damage</t>
        </is>
      </c>
      <c r="H352" s="13" t="inlineStr">
        <is>
          <t>20%</t>
        </is>
      </c>
      <c r="I352" s="13" t="inlineStr">
        <is>
          <t>40%</t>
        </is>
      </c>
      <c r="J352" s="13" t="inlineStr">
        <is>
          <t>60%</t>
        </is>
      </c>
      <c r="K352" s="13" t="inlineStr">
        <is>
          <t>80%</t>
        </is>
      </c>
      <c r="L352" s="13" t="inlineStr">
        <is>
          <t>100%</t>
        </is>
      </c>
    </row>
    <row r="353">
      <c r="A353" s="8" t="inlineStr">
        <is>
          <t>Ligeia</t>
        </is>
      </c>
      <c r="B353" s="8" t="n">
        <v>12</v>
      </c>
      <c r="C353" s="8" t="inlineStr">
        <is>
          <t>Expedition</t>
        </is>
      </c>
      <c r="D353" s="8" t="n">
        <v>2</v>
      </c>
      <c r="E353" s="8" t="inlineStr">
        <is>
          <t>Corrosion</t>
        </is>
      </c>
      <c r="F353" s="8" t="inlineStr">
        <is>
          <t>Every 2 attacks her Marksmen deal extra damage and the target takes more damage for 1 turn.</t>
        </is>
      </c>
      <c r="G353" s="8" t="inlineStr">
        <is>
          <t>Extra damage taken</t>
        </is>
      </c>
      <c r="H353" s="13" t="inlineStr">
        <is>
          <t>5%</t>
        </is>
      </c>
      <c r="I353" s="13" t="inlineStr">
        <is>
          <t>10%</t>
        </is>
      </c>
      <c r="J353" s="13" t="inlineStr">
        <is>
          <t>15%</t>
        </is>
      </c>
      <c r="K353" s="13" t="inlineStr">
        <is>
          <t>20%</t>
        </is>
      </c>
      <c r="L353" s="13" t="inlineStr">
        <is>
          <t>25%</t>
        </is>
      </c>
    </row>
    <row r="354">
      <c r="A354" s="8" t="inlineStr">
        <is>
          <t>Ligeia</t>
        </is>
      </c>
      <c r="B354" s="8" t="n">
        <v>12</v>
      </c>
      <c r="C354" s="8" t="inlineStr">
        <is>
          <t>Expedition</t>
        </is>
      </c>
      <c r="D354" s="8" t="n">
        <v>3</v>
      </c>
      <c r="E354" s="8" t="inlineStr">
        <is>
          <t>Toxic Tip</t>
        </is>
      </c>
      <c r="F354" s="8" t="inlineStr">
        <is>
          <t>Every 2 attacks her Marksmen deal extra damage and the target deals less damage for 1 turn.</t>
        </is>
      </c>
      <c r="G354" s="8" t="inlineStr">
        <is>
          <t>Marksman bonus damage</t>
        </is>
      </c>
      <c r="H354" s="13" t="inlineStr">
        <is>
          <t>20%</t>
        </is>
      </c>
      <c r="I354" s="13" t="inlineStr">
        <is>
          <t>40%</t>
        </is>
      </c>
      <c r="J354" s="13" t="inlineStr">
        <is>
          <t>60%</t>
        </is>
      </c>
      <c r="K354" s="13" t="inlineStr">
        <is>
          <t>80%</t>
        </is>
      </c>
      <c r="L354" s="13" t="inlineStr">
        <is>
          <t>100%</t>
        </is>
      </c>
    </row>
    <row r="355">
      <c r="A355" s="8" t="inlineStr">
        <is>
          <t>Ligeia</t>
        </is>
      </c>
      <c r="B355" s="8" t="n">
        <v>12</v>
      </c>
      <c r="C355" s="8" t="inlineStr">
        <is>
          <t>Expedition</t>
        </is>
      </c>
      <c r="D355" s="8" t="n">
        <v>3</v>
      </c>
      <c r="E355" s="8" t="inlineStr">
        <is>
          <t>Toxic Tip</t>
        </is>
      </c>
      <c r="F355" s="8" t="inlineStr">
        <is>
          <t>Every 2 attacks her Marksmen deal extra damage and the target deals less damage for 1 turn.</t>
        </is>
      </c>
      <c r="G355" s="8" t="inlineStr">
        <is>
          <t>Target damage reduction</t>
        </is>
      </c>
      <c r="H355" s="13" t="inlineStr">
        <is>
          <t>4%</t>
        </is>
      </c>
      <c r="I355" s="13" t="inlineStr">
        <is>
          <t>8%</t>
        </is>
      </c>
      <c r="J355" s="13" t="inlineStr">
        <is>
          <t>12%</t>
        </is>
      </c>
      <c r="K355" s="13" t="inlineStr">
        <is>
          <t>16%</t>
        </is>
      </c>
      <c r="L355" s="13" t="inlineStr">
        <is>
          <t>20%</t>
        </is>
      </c>
    </row>
    <row r="356">
      <c r="A356" s="8" t="inlineStr">
        <is>
          <t>Flora</t>
        </is>
      </c>
      <c r="B356" s="8" t="n">
        <v>13</v>
      </c>
      <c r="C356" s="8" t="inlineStr">
        <is>
          <t>Exploration</t>
        </is>
      </c>
      <c r="D356" s="8" t="n">
        <v>1</v>
      </c>
      <c r="E356" s="8" t="inlineStr">
        <is>
          <t>Envelopment</t>
        </is>
      </c>
      <c r="F356" s="8" t="inlineStr">
        <is>
          <t>A fast vine hits an area and stuns the target for 2 seconds.</t>
        </is>
      </c>
      <c r="G356" s="8" t="inlineStr">
        <is>
          <t>Area damage (x Attack)</t>
        </is>
      </c>
      <c r="H356" s="13" t="inlineStr">
        <is>
          <t>100%</t>
        </is>
      </c>
      <c r="I356" s="13" t="inlineStr">
        <is>
          <t>110%</t>
        </is>
      </c>
      <c r="J356" s="13" t="inlineStr">
        <is>
          <t>120%</t>
        </is>
      </c>
      <c r="K356" s="13" t="inlineStr">
        <is>
          <t>130%</t>
        </is>
      </c>
      <c r="L356" s="13" t="inlineStr">
        <is>
          <t>140%</t>
        </is>
      </c>
    </row>
    <row r="357">
      <c r="A357" s="8" t="inlineStr">
        <is>
          <t>Flora</t>
        </is>
      </c>
      <c r="B357" s="8" t="n">
        <v>13</v>
      </c>
      <c r="C357" s="8" t="inlineStr">
        <is>
          <t>Exploration</t>
        </is>
      </c>
      <c r="D357" s="8" t="n">
        <v>2</v>
      </c>
      <c r="E357" s="8" t="inlineStr">
        <is>
          <t>Rosebloom</t>
        </is>
      </c>
      <c r="F357" s="8" t="inlineStr">
        <is>
          <t>Plants toxic blooms that damage an area, and against heroes they grow into a rose that fights for her using part of her stats.</t>
        </is>
      </c>
      <c r="G357" s="8" t="inlineStr">
        <is>
          <t>Bloom damage (x Attack)</t>
        </is>
      </c>
      <c r="H357" s="13" t="inlineStr">
        <is>
          <t>20%</t>
        </is>
      </c>
      <c r="I357" s="13" t="inlineStr">
        <is>
          <t>25%</t>
        </is>
      </c>
      <c r="J357" s="13" t="inlineStr">
        <is>
          <t>30%</t>
        </is>
      </c>
      <c r="K357" s="13" t="inlineStr">
        <is>
          <t>35%</t>
        </is>
      </c>
      <c r="L357" s="13" t="inlineStr">
        <is>
          <t>40%</t>
        </is>
      </c>
    </row>
    <row r="358">
      <c r="A358" s="8" t="inlineStr">
        <is>
          <t>Flora</t>
        </is>
      </c>
      <c r="B358" s="8" t="n">
        <v>13</v>
      </c>
      <c r="C358" s="8" t="inlineStr">
        <is>
          <t>Exploration</t>
        </is>
      </c>
      <c r="D358" s="8" t="n">
        <v>2</v>
      </c>
      <c r="E358" s="8" t="inlineStr">
        <is>
          <t>Rosebloom</t>
        </is>
      </c>
      <c r="F358" s="8" t="inlineStr">
        <is>
          <t>Plants toxic blooms that damage an area, and against heroes they grow into a rose that fights for her using part of her stats.</t>
        </is>
      </c>
      <c r="G358" s="8" t="inlineStr">
        <is>
          <t>Rose stats inherited</t>
        </is>
      </c>
      <c r="H358" s="13" t="inlineStr">
        <is>
          <t>10%</t>
        </is>
      </c>
      <c r="I358" s="13" t="inlineStr">
        <is>
          <t>15%</t>
        </is>
      </c>
      <c r="J358" s="13" t="inlineStr">
        <is>
          <t>20%</t>
        </is>
      </c>
      <c r="K358" s="13" t="inlineStr">
        <is>
          <t>25%</t>
        </is>
      </c>
      <c r="L358" s="13" t="inlineStr">
        <is>
          <t>30%</t>
        </is>
      </c>
    </row>
    <row r="359">
      <c r="A359" s="8" t="inlineStr">
        <is>
          <t>Flora</t>
        </is>
      </c>
      <c r="B359" s="8" t="n">
        <v>13</v>
      </c>
      <c r="C359" s="8" t="inlineStr">
        <is>
          <t>Exploration</t>
        </is>
      </c>
      <c r="D359" s="8" t="n">
        <v>3</v>
      </c>
      <c r="E359" s="8" t="inlineStr">
        <is>
          <t>Nature's Strength</t>
        </is>
      </c>
      <c r="F359" s="8" t="inlineStr">
        <is>
          <t>Flora and her summoned plants gain Health and Defense.</t>
        </is>
      </c>
      <c r="G359" s="8" t="inlineStr">
        <is>
          <t>Health bonus</t>
        </is>
      </c>
      <c r="H359" s="13" t="inlineStr">
        <is>
          <t>2%</t>
        </is>
      </c>
      <c r="I359" s="13" t="inlineStr">
        <is>
          <t>4%</t>
        </is>
      </c>
      <c r="J359" s="13" t="inlineStr">
        <is>
          <t>6%</t>
        </is>
      </c>
      <c r="K359" s="13" t="inlineStr">
        <is>
          <t>8%</t>
        </is>
      </c>
      <c r="L359" s="13" t="inlineStr">
        <is>
          <t>10%</t>
        </is>
      </c>
    </row>
    <row r="360">
      <c r="A360" s="8" t="inlineStr">
        <is>
          <t>Flora</t>
        </is>
      </c>
      <c r="B360" s="8" t="n">
        <v>13</v>
      </c>
      <c r="C360" s="8" t="inlineStr">
        <is>
          <t>Exploration</t>
        </is>
      </c>
      <c r="D360" s="8" t="n">
        <v>3</v>
      </c>
      <c r="E360" s="8" t="inlineStr">
        <is>
          <t>Nature's Strength</t>
        </is>
      </c>
      <c r="F360" s="8" t="inlineStr">
        <is>
          <t>Flora and her summoned plants gain Health and Defense.</t>
        </is>
      </c>
      <c r="G360" s="8" t="inlineStr">
        <is>
          <t>Defense bonus</t>
        </is>
      </c>
      <c r="H360" s="13" t="inlineStr">
        <is>
          <t>4%</t>
        </is>
      </c>
      <c r="I360" s="13" t="inlineStr">
        <is>
          <t>8%</t>
        </is>
      </c>
      <c r="J360" s="13" t="inlineStr">
        <is>
          <t>12%</t>
        </is>
      </c>
      <c r="K360" s="13" t="inlineStr">
        <is>
          <t>16%</t>
        </is>
      </c>
      <c r="L360" s="13" t="inlineStr">
        <is>
          <t>20%</t>
        </is>
      </c>
    </row>
    <row r="361">
      <c r="A361" s="8" t="inlineStr">
        <is>
          <t>Flora</t>
        </is>
      </c>
      <c r="B361" s="8" t="n">
        <v>13</v>
      </c>
      <c r="C361" s="8" t="inlineStr">
        <is>
          <t>Expedition</t>
        </is>
      </c>
      <c r="D361" s="8" t="n">
        <v>1</v>
      </c>
      <c r="E361" s="8" t="inlineStr">
        <is>
          <t>Enmiring Vines</t>
        </is>
      </c>
      <c r="F361" s="8" t="inlineStr">
        <is>
          <t>50% chance to make enemies take more damage.</t>
        </is>
      </c>
      <c r="G361" s="8" t="inlineStr">
        <is>
          <t>Extra damage taken on proc</t>
        </is>
      </c>
      <c r="H361" s="13" t="inlineStr">
        <is>
          <t>10%</t>
        </is>
      </c>
      <c r="I361" s="13" t="inlineStr">
        <is>
          <t>20%</t>
        </is>
      </c>
      <c r="J361" s="13" t="inlineStr">
        <is>
          <t>30%</t>
        </is>
      </c>
      <c r="K361" s="13" t="inlineStr">
        <is>
          <t>40%</t>
        </is>
      </c>
      <c r="L361" s="13" t="inlineStr">
        <is>
          <t>50%</t>
        </is>
      </c>
    </row>
    <row r="362">
      <c r="A362" s="8" t="inlineStr">
        <is>
          <t>Flora</t>
        </is>
      </c>
      <c r="B362" s="8" t="n">
        <v>13</v>
      </c>
      <c r="C362" s="8" t="inlineStr">
        <is>
          <t>Expedition</t>
        </is>
      </c>
      <c r="D362" s="8" t="n">
        <v>2</v>
      </c>
      <c r="E362" s="8" t="inlineStr">
        <is>
          <t>Plantage</t>
        </is>
      </c>
      <c r="F362" s="8" t="inlineStr">
        <is>
          <t>Your Infantry take less damage and Lancer joint attacks hit harder.</t>
        </is>
      </c>
      <c r="G362" s="8" t="inlineStr">
        <is>
          <t>Infantry damage taken reduction</t>
        </is>
      </c>
      <c r="H362" s="13" t="inlineStr">
        <is>
          <t>5%</t>
        </is>
      </c>
      <c r="I362" s="13" t="inlineStr">
        <is>
          <t>10%</t>
        </is>
      </c>
      <c r="J362" s="13" t="inlineStr">
        <is>
          <t>15%</t>
        </is>
      </c>
      <c r="K362" s="13" t="inlineStr">
        <is>
          <t>20%</t>
        </is>
      </c>
      <c r="L362" s="13" t="inlineStr">
        <is>
          <t>25%</t>
        </is>
      </c>
    </row>
    <row r="363">
      <c r="A363" s="8" t="inlineStr">
        <is>
          <t>Flora</t>
        </is>
      </c>
      <c r="B363" s="8" t="n">
        <v>13</v>
      </c>
      <c r="C363" s="8" t="inlineStr">
        <is>
          <t>Expedition</t>
        </is>
      </c>
      <c r="D363" s="8" t="n">
        <v>2</v>
      </c>
      <c r="E363" s="8" t="inlineStr">
        <is>
          <t>Plantage</t>
        </is>
      </c>
      <c r="F363" s="8" t="inlineStr">
        <is>
          <t>Your Infantry take less damage and Lancer joint attacks hit harder.</t>
        </is>
      </c>
      <c r="G363" s="8" t="inlineStr">
        <is>
          <t>Joint attack bonus</t>
        </is>
      </c>
      <c r="H363" s="13" t="inlineStr">
        <is>
          <t>5%</t>
        </is>
      </c>
      <c r="I363" s="13" t="inlineStr">
        <is>
          <t>10%</t>
        </is>
      </c>
      <c r="J363" s="13" t="inlineStr">
        <is>
          <t>15%</t>
        </is>
      </c>
      <c r="K363" s="13" t="inlineStr">
        <is>
          <t>20%</t>
        </is>
      </c>
      <c r="L363" s="13" t="inlineStr">
        <is>
          <t>25%</t>
        </is>
      </c>
    </row>
    <row r="364">
      <c r="A364" s="8" t="inlineStr">
        <is>
          <t>Flora</t>
        </is>
      </c>
      <c r="B364" s="8" t="n">
        <v>13</v>
      </c>
      <c r="C364" s="8" t="inlineStr">
        <is>
          <t>Expedition</t>
        </is>
      </c>
      <c r="D364" s="8" t="n">
        <v>3</v>
      </c>
      <c r="E364" s="8" t="inlineStr">
        <is>
          <t>Confusion Pollen</t>
        </is>
      </c>
      <c r="F364" s="8" t="inlineStr">
        <is>
          <t>Every 4 turns for 2 turns, enemy Infantry take more damage and enemy Marksmen deal less.</t>
        </is>
      </c>
      <c r="G364" s="8" t="inlineStr">
        <is>
          <t>Infantry damage taken (enemy)</t>
        </is>
      </c>
      <c r="H364" s="13" t="inlineStr">
        <is>
          <t>6%</t>
        </is>
      </c>
      <c r="I364" s="13" t="inlineStr">
        <is>
          <t>12%</t>
        </is>
      </c>
      <c r="J364" s="13" t="inlineStr">
        <is>
          <t>18%</t>
        </is>
      </c>
      <c r="K364" s="13" t="inlineStr">
        <is>
          <t>24%</t>
        </is>
      </c>
      <c r="L364" s="13" t="inlineStr">
        <is>
          <t>30%</t>
        </is>
      </c>
    </row>
    <row r="365">
      <c r="A365" s="8" t="inlineStr">
        <is>
          <t>Flora</t>
        </is>
      </c>
      <c r="B365" s="8" t="n">
        <v>13</v>
      </c>
      <c r="C365" s="8" t="inlineStr">
        <is>
          <t>Expedition</t>
        </is>
      </c>
      <c r="D365" s="8" t="n">
        <v>3</v>
      </c>
      <c r="E365" s="8" t="inlineStr">
        <is>
          <t>Confusion Pollen</t>
        </is>
      </c>
      <c r="F365" s="8" t="inlineStr">
        <is>
          <t>Every 4 turns for 2 turns, enemy Infantry take more damage and enemy Marksmen deal less.</t>
        </is>
      </c>
      <c r="G365" s="8" t="inlineStr">
        <is>
          <t>Marksman damage reduction</t>
        </is>
      </c>
      <c r="H365" s="13" t="inlineStr">
        <is>
          <t>6%</t>
        </is>
      </c>
      <c r="I365" s="13" t="inlineStr">
        <is>
          <t>12%</t>
        </is>
      </c>
      <c r="J365" s="13" t="inlineStr">
        <is>
          <t>18%</t>
        </is>
      </c>
      <c r="K365" s="13" t="inlineStr">
        <is>
          <t>24%</t>
        </is>
      </c>
      <c r="L365" s="13" t="inlineStr">
        <is>
          <t>30%</t>
        </is>
      </c>
    </row>
    <row r="366">
      <c r="A366" s="8" t="inlineStr">
        <is>
          <t>Gisela</t>
        </is>
      </c>
      <c r="B366" s="8" t="n">
        <v>13</v>
      </c>
      <c r="C366" s="8" t="inlineStr">
        <is>
          <t>Exploration</t>
        </is>
      </c>
      <c r="D366" s="8" t="n">
        <v>1</v>
      </c>
      <c r="E366" s="8" t="inlineStr">
        <is>
          <t>Superload</t>
        </is>
      </c>
      <c r="F366" s="8" t="inlineStr">
        <is>
          <t>Overloads her mech-arms for 5 seconds, giving her 50 Energy plus Attack Speed and Defense.</t>
        </is>
      </c>
      <c r="G366" s="8" t="inlineStr">
        <is>
          <t>Attack Speed bonus</t>
        </is>
      </c>
      <c r="H366" s="13" t="inlineStr">
        <is>
          <t>20%</t>
        </is>
      </c>
      <c r="I366" s="13" t="inlineStr">
        <is>
          <t>30%</t>
        </is>
      </c>
      <c r="J366" s="13" t="inlineStr">
        <is>
          <t>40%</t>
        </is>
      </c>
      <c r="K366" s="13" t="inlineStr">
        <is>
          <t>50%</t>
        </is>
      </c>
      <c r="L366" s="13" t="inlineStr">
        <is>
          <t>60%</t>
        </is>
      </c>
    </row>
    <row r="367">
      <c r="A367" s="8" t="inlineStr">
        <is>
          <t>Gisela</t>
        </is>
      </c>
      <c r="B367" s="8" t="n">
        <v>13</v>
      </c>
      <c r="C367" s="8" t="inlineStr">
        <is>
          <t>Exploration</t>
        </is>
      </c>
      <c r="D367" s="8" t="n">
        <v>1</v>
      </c>
      <c r="E367" s="8" t="inlineStr">
        <is>
          <t>Superload</t>
        </is>
      </c>
      <c r="F367" s="8" t="inlineStr">
        <is>
          <t>Overloads her mech-arms for 5 seconds, giving her 50 Energy plus Attack Speed and Defense.</t>
        </is>
      </c>
      <c r="G367" s="8" t="inlineStr">
        <is>
          <t>Defense bonus</t>
        </is>
      </c>
      <c r="H367" s="13" t="inlineStr">
        <is>
          <t>50%</t>
        </is>
      </c>
      <c r="I367" s="13" t="inlineStr">
        <is>
          <t>75%</t>
        </is>
      </c>
      <c r="J367" s="13" t="inlineStr">
        <is>
          <t>100%</t>
        </is>
      </c>
      <c r="K367" s="13" t="inlineStr">
        <is>
          <t>125%</t>
        </is>
      </c>
      <c r="L367" s="13" t="inlineStr">
        <is>
          <t>150%</t>
        </is>
      </c>
    </row>
    <row r="368">
      <c r="A368" s="8" t="inlineStr">
        <is>
          <t>Gisela</t>
        </is>
      </c>
      <c r="B368" s="8" t="n">
        <v>13</v>
      </c>
      <c r="C368" s="8" t="inlineStr">
        <is>
          <t>Exploration</t>
        </is>
      </c>
      <c r="D368" s="8" t="n">
        <v>2</v>
      </c>
      <c r="E368" s="8" t="inlineStr">
        <is>
          <t>Steel Hammer</t>
        </is>
      </c>
      <c r="F368" s="8" t="inlineStr">
        <is>
          <t>Smashes an area with her mech-arms for damage and gains 25 Energy.</t>
        </is>
      </c>
      <c r="G368" s="8" t="inlineStr">
        <is>
          <t>Area damage (x Attack)</t>
        </is>
      </c>
      <c r="H368" s="13" t="inlineStr">
        <is>
          <t>100%</t>
        </is>
      </c>
      <c r="I368" s="13" t="inlineStr">
        <is>
          <t>110%</t>
        </is>
      </c>
      <c r="J368" s="13" t="inlineStr">
        <is>
          <t>120%</t>
        </is>
      </c>
      <c r="K368" s="13" t="inlineStr">
        <is>
          <t>130%</t>
        </is>
      </c>
      <c r="L368" s="13" t="inlineStr">
        <is>
          <t>140%</t>
        </is>
      </c>
    </row>
    <row r="369">
      <c r="A369" s="8" t="inlineStr">
        <is>
          <t>Gisela</t>
        </is>
      </c>
      <c r="B369" s="8" t="n">
        <v>13</v>
      </c>
      <c r="C369" s="8" t="inlineStr">
        <is>
          <t>Exploration</t>
        </is>
      </c>
      <c r="D369" s="8" t="n">
        <v>3</v>
      </c>
      <c r="E369" s="8" t="inlineStr">
        <is>
          <t>Porta-Shield</t>
        </is>
      </c>
      <c r="F369" s="8" t="inlineStr">
        <is>
          <t>Builds Energy with every normal attack. At 100 Energy a mini-shield activates for 3 seconds.</t>
        </is>
      </c>
      <c r="G369" s="8" t="inlineStr">
        <is>
          <t>Shield (x Attack)</t>
        </is>
      </c>
      <c r="H369" s="13" t="inlineStr">
        <is>
          <t>70%</t>
        </is>
      </c>
      <c r="I369" s="13" t="inlineStr">
        <is>
          <t>100%</t>
        </is>
      </c>
      <c r="J369" s="13" t="inlineStr">
        <is>
          <t>130%</t>
        </is>
      </c>
      <c r="K369" s="13" t="inlineStr">
        <is>
          <t>160%</t>
        </is>
      </c>
      <c r="L369" s="13" t="inlineStr">
        <is>
          <t>190%</t>
        </is>
      </c>
    </row>
    <row r="370">
      <c r="A370" s="8" t="inlineStr">
        <is>
          <t>Gisela</t>
        </is>
      </c>
      <c r="B370" s="8" t="n">
        <v>13</v>
      </c>
      <c r="C370" s="8" t="inlineStr">
        <is>
          <t>Exploration</t>
        </is>
      </c>
      <c r="D370" s="8" t="n">
        <v>3</v>
      </c>
      <c r="E370" s="8" t="inlineStr">
        <is>
          <t>Porta-Shield</t>
        </is>
      </c>
      <c r="F370" s="8" t="inlineStr">
        <is>
          <t>Builds Energy with every normal attack. At 100 Energy a mini-shield activates for 3 seconds.</t>
        </is>
      </c>
      <c r="G370" s="8" t="inlineStr">
        <is>
          <t>Energy per attack</t>
        </is>
      </c>
      <c r="H370" s="13" t="inlineStr">
        <is>
          <t>3</t>
        </is>
      </c>
      <c r="I370" s="13" t="inlineStr">
        <is>
          <t>6</t>
        </is>
      </c>
      <c r="J370" s="13" t="inlineStr">
        <is>
          <t>9</t>
        </is>
      </c>
      <c r="K370" s="13" t="inlineStr">
        <is>
          <t>12</t>
        </is>
      </c>
      <c r="L370" s="13" t="inlineStr">
        <is>
          <t>15</t>
        </is>
      </c>
    </row>
    <row r="371">
      <c r="A371" s="8" t="inlineStr">
        <is>
          <t>Gisela</t>
        </is>
      </c>
      <c r="B371" s="8" t="n">
        <v>13</v>
      </c>
      <c r="C371" s="8" t="inlineStr">
        <is>
          <t>Expedition</t>
        </is>
      </c>
      <c r="D371" s="8" t="n">
        <v>1</v>
      </c>
      <c r="E371" s="8" t="inlineStr">
        <is>
          <t>Alloyed Defense</t>
        </is>
      </c>
      <c r="F371" s="8" t="inlineStr">
        <is>
          <t>Raises the Defense of your Infantry.</t>
        </is>
      </c>
      <c r="G371" s="8" t="inlineStr">
        <is>
          <t>Infantry Defense bonus</t>
        </is>
      </c>
      <c r="H371" s="13" t="inlineStr">
        <is>
          <t>6%</t>
        </is>
      </c>
      <c r="I371" s="13" t="inlineStr">
        <is>
          <t>12%</t>
        </is>
      </c>
      <c r="J371" s="13" t="inlineStr">
        <is>
          <t>18%</t>
        </is>
      </c>
      <c r="K371" s="13" t="inlineStr">
        <is>
          <t>24%</t>
        </is>
      </c>
      <c r="L371" s="13" t="inlineStr">
        <is>
          <t>30%</t>
        </is>
      </c>
    </row>
    <row r="372">
      <c r="A372" s="8" t="inlineStr">
        <is>
          <t>Gisela</t>
        </is>
      </c>
      <c r="B372" s="8" t="n">
        <v>13</v>
      </c>
      <c r="C372" s="8" t="inlineStr">
        <is>
          <t>Expedition</t>
        </is>
      </c>
      <c r="D372" s="8" t="n">
        <v>2</v>
      </c>
      <c r="E372" s="8" t="inlineStr">
        <is>
          <t>Scavengeworks</t>
        </is>
      </c>
      <c r="F372" s="8" t="inlineStr">
        <is>
          <t>Your Infantry have a 40% chance to raise all troops' Defense for 1 turn.</t>
        </is>
      </c>
      <c r="G372" s="8" t="inlineStr">
        <is>
          <t>Defense bonus on proc</t>
        </is>
      </c>
      <c r="H372" s="13" t="inlineStr">
        <is>
          <t>10%</t>
        </is>
      </c>
      <c r="I372" s="13" t="inlineStr">
        <is>
          <t>20%</t>
        </is>
      </c>
      <c r="J372" s="13" t="inlineStr">
        <is>
          <t>30%</t>
        </is>
      </c>
      <c r="K372" s="13" t="inlineStr">
        <is>
          <t>40%</t>
        </is>
      </c>
      <c r="L372" s="13" t="inlineStr">
        <is>
          <t>50%</t>
        </is>
      </c>
    </row>
    <row r="373">
      <c r="A373" s="8" t="inlineStr">
        <is>
          <t>Gisela</t>
        </is>
      </c>
      <c r="B373" s="8" t="n">
        <v>13</v>
      </c>
      <c r="C373" s="8" t="inlineStr">
        <is>
          <t>Expedition</t>
        </is>
      </c>
      <c r="D373" s="8" t="n">
        <v>3</v>
      </c>
      <c r="E373" s="8" t="inlineStr">
        <is>
          <t>Trial Shield</t>
        </is>
      </c>
      <c r="F373" s="8" t="inlineStr">
        <is>
          <t>40% chance to cut the damage your whole squad takes.</t>
        </is>
      </c>
      <c r="G373" s="8" t="inlineStr">
        <is>
          <t>Damage taken reduction on proc</t>
        </is>
      </c>
      <c r="H373" s="13" t="inlineStr">
        <is>
          <t>10%</t>
        </is>
      </c>
      <c r="I373" s="13" t="inlineStr">
        <is>
          <t>20%</t>
        </is>
      </c>
      <c r="J373" s="13" t="inlineStr">
        <is>
          <t>30%</t>
        </is>
      </c>
      <c r="K373" s="13" t="inlineStr">
        <is>
          <t>40%</t>
        </is>
      </c>
      <c r="L373" s="13" t="inlineStr">
        <is>
          <t>50%</t>
        </is>
      </c>
    </row>
    <row r="374">
      <c r="A374" s="8" t="inlineStr">
        <is>
          <t>Vulcanus</t>
        </is>
      </c>
      <c r="B374" s="8" t="n">
        <v>13</v>
      </c>
      <c r="C374" s="8" t="inlineStr">
        <is>
          <t>Exploration</t>
        </is>
      </c>
      <c r="D374" s="8" t="n">
        <v>1</v>
      </c>
      <c r="E374" s="8" t="inlineStr">
        <is>
          <t>Siege Bolts</t>
        </is>
      </c>
      <c r="F374" s="8" t="inlineStr">
        <is>
          <t>Three heavy bolts deal big damage and cause bleeding for 3 seconds.</t>
        </is>
      </c>
      <c r="G374" s="8" t="inlineStr">
        <is>
          <t>Damage (x Attack)</t>
        </is>
      </c>
      <c r="H374" s="13" t="inlineStr">
        <is>
          <t>200%</t>
        </is>
      </c>
      <c r="I374" s="13" t="inlineStr">
        <is>
          <t>220%</t>
        </is>
      </c>
      <c r="J374" s="13" t="inlineStr">
        <is>
          <t>240%</t>
        </is>
      </c>
      <c r="K374" s="13" t="inlineStr">
        <is>
          <t>260%</t>
        </is>
      </c>
      <c r="L374" s="13" t="inlineStr">
        <is>
          <t>280%</t>
        </is>
      </c>
    </row>
    <row r="375">
      <c r="A375" s="8" t="inlineStr">
        <is>
          <t>Vulcanus</t>
        </is>
      </c>
      <c r="B375" s="8" t="n">
        <v>13</v>
      </c>
      <c r="C375" s="8" t="inlineStr">
        <is>
          <t>Exploration</t>
        </is>
      </c>
      <c r="D375" s="8" t="n">
        <v>2</v>
      </c>
      <c r="E375" s="8" t="inlineStr">
        <is>
          <t>Chainlinked</t>
        </is>
      </c>
      <c r="F375" s="8" t="inlineStr">
        <is>
          <t>A chained dart hits an enemy hero and stuns it for 2 seconds.</t>
        </is>
      </c>
      <c r="G375" s="8" t="inlineStr">
        <is>
          <t>Damage (x Attack)</t>
        </is>
      </c>
      <c r="H375" s="13" t="inlineStr">
        <is>
          <t>100%</t>
        </is>
      </c>
      <c r="I375" s="13" t="inlineStr">
        <is>
          <t>110%</t>
        </is>
      </c>
      <c r="J375" s="13" t="inlineStr">
        <is>
          <t>120%</t>
        </is>
      </c>
      <c r="K375" s="13" t="inlineStr">
        <is>
          <t>130%</t>
        </is>
      </c>
      <c r="L375" s="13" t="inlineStr">
        <is>
          <t>140%</t>
        </is>
      </c>
    </row>
    <row r="376">
      <c r="A376" s="8" t="inlineStr">
        <is>
          <t>Vulcanus</t>
        </is>
      </c>
      <c r="B376" s="8" t="n">
        <v>13</v>
      </c>
      <c r="C376" s="8" t="inlineStr">
        <is>
          <t>Exploration</t>
        </is>
      </c>
      <c r="D376" s="8" t="n">
        <v>3</v>
      </c>
      <c r="E376" s="8" t="inlineStr">
        <is>
          <t>Fire of Hope</t>
        </is>
      </c>
      <c r="F376" s="8" t="inlineStr">
        <is>
          <t>Raises his Escorts' Attack and Defense.</t>
        </is>
      </c>
      <c r="G376" s="8" t="inlineStr">
        <is>
          <t>Attack bonus</t>
        </is>
      </c>
      <c r="H376" s="13" t="inlineStr">
        <is>
          <t>10%</t>
        </is>
      </c>
      <c r="I376" s="13" t="inlineStr">
        <is>
          <t>15%</t>
        </is>
      </c>
      <c r="J376" s="13" t="inlineStr">
        <is>
          <t>20%</t>
        </is>
      </c>
      <c r="K376" s="13" t="inlineStr">
        <is>
          <t>25%</t>
        </is>
      </c>
      <c r="L376" s="13" t="inlineStr">
        <is>
          <t>30%</t>
        </is>
      </c>
    </row>
    <row r="377">
      <c r="A377" s="8" t="inlineStr">
        <is>
          <t>Vulcanus</t>
        </is>
      </c>
      <c r="B377" s="8" t="n">
        <v>13</v>
      </c>
      <c r="C377" s="8" t="inlineStr">
        <is>
          <t>Exploration</t>
        </is>
      </c>
      <c r="D377" s="8" t="n">
        <v>3</v>
      </c>
      <c r="E377" s="8" t="inlineStr">
        <is>
          <t>Fire of Hope</t>
        </is>
      </c>
      <c r="F377" s="8" t="inlineStr">
        <is>
          <t>Raises his Escorts' Attack and Defense.</t>
        </is>
      </c>
      <c r="G377" s="8" t="inlineStr">
        <is>
          <t>Defense bonus</t>
        </is>
      </c>
      <c r="H377" s="13" t="inlineStr">
        <is>
          <t>10%</t>
        </is>
      </c>
      <c r="I377" s="13" t="inlineStr">
        <is>
          <t>15%</t>
        </is>
      </c>
      <c r="J377" s="13" t="inlineStr">
        <is>
          <t>20%</t>
        </is>
      </c>
      <c r="K377" s="13" t="inlineStr">
        <is>
          <t>25%</t>
        </is>
      </c>
      <c r="L377" s="13" t="inlineStr">
        <is>
          <t>30%</t>
        </is>
      </c>
    </row>
    <row r="378">
      <c r="A378" s="8" t="inlineStr">
        <is>
          <t>Vulcanus</t>
        </is>
      </c>
      <c r="B378" s="8" t="n">
        <v>13</v>
      </c>
      <c r="C378" s="8" t="inlineStr">
        <is>
          <t>Expedition</t>
        </is>
      </c>
      <c r="D378" s="8" t="n">
        <v>1</v>
      </c>
      <c r="E378" s="8" t="inlineStr">
        <is>
          <t>Raging Storm</t>
        </is>
      </c>
      <c r="F378" s="8" t="inlineStr">
        <is>
          <t>Weakens every enemy troop by lowering their Attack.</t>
        </is>
      </c>
      <c r="G378" s="8" t="inlineStr">
        <is>
          <t>Enemy Attack reduction</t>
        </is>
      </c>
      <c r="H378" s="13" t="inlineStr">
        <is>
          <t>4%</t>
        </is>
      </c>
      <c r="I378" s="13" t="inlineStr">
        <is>
          <t>8%</t>
        </is>
      </c>
      <c r="J378" s="13" t="inlineStr">
        <is>
          <t>12%</t>
        </is>
      </c>
      <c r="K378" s="13" t="inlineStr">
        <is>
          <t>16%</t>
        </is>
      </c>
      <c r="L378" s="13" t="inlineStr">
        <is>
          <t>20%</t>
        </is>
      </c>
    </row>
    <row r="379">
      <c r="A379" s="8" t="inlineStr">
        <is>
          <t>Vulcanus</t>
        </is>
      </c>
      <c r="B379" s="8" t="n">
        <v>13</v>
      </c>
      <c r="C379" s="8" t="inlineStr">
        <is>
          <t>Expedition</t>
        </is>
      </c>
      <c r="D379" s="8" t="n">
        <v>2</v>
      </c>
      <c r="E379" s="8" t="inlineStr">
        <is>
          <t>Breaker Steel</t>
        </is>
      </c>
      <c r="F379" s="8" t="inlineStr">
        <is>
          <t>After every 5 attacks your troops deal extra damage, and the target takes more damage on the next attack.</t>
        </is>
      </c>
      <c r="G379" s="8" t="inlineStr">
        <is>
          <t>Extra damage</t>
        </is>
      </c>
      <c r="H379" s="13" t="inlineStr">
        <is>
          <t>20%</t>
        </is>
      </c>
      <c r="I379" s="13" t="inlineStr">
        <is>
          <t>40%</t>
        </is>
      </c>
      <c r="J379" s="13" t="inlineStr">
        <is>
          <t>60%</t>
        </is>
      </c>
      <c r="K379" s="13" t="inlineStr">
        <is>
          <t>80%</t>
        </is>
      </c>
      <c r="L379" s="13" t="inlineStr">
        <is>
          <t>100%</t>
        </is>
      </c>
    </row>
    <row r="380">
      <c r="A380" s="8" t="inlineStr">
        <is>
          <t>Vulcanus</t>
        </is>
      </c>
      <c r="B380" s="8" t="n">
        <v>13</v>
      </c>
      <c r="C380" s="8" t="inlineStr">
        <is>
          <t>Expedition</t>
        </is>
      </c>
      <c r="D380" s="8" t="n">
        <v>2</v>
      </c>
      <c r="E380" s="8" t="inlineStr">
        <is>
          <t>Breaker Steel</t>
        </is>
      </c>
      <c r="F380" s="8" t="inlineStr">
        <is>
          <t>After every 5 attacks your troops deal extra damage, and the target takes more damage on the next attack.</t>
        </is>
      </c>
      <c r="G380" s="8" t="inlineStr">
        <is>
          <t>Extra damage taken</t>
        </is>
      </c>
      <c r="H380" s="13" t="inlineStr">
        <is>
          <t>5%</t>
        </is>
      </c>
      <c r="I380" s="13" t="inlineStr">
        <is>
          <t>7.5%</t>
        </is>
      </c>
      <c r="J380" s="13" t="inlineStr">
        <is>
          <t>10%</t>
        </is>
      </c>
      <c r="K380" s="13" t="inlineStr">
        <is>
          <t>12.5%</t>
        </is>
      </c>
      <c r="L380" s="13" t="inlineStr">
        <is>
          <t>15%</t>
        </is>
      </c>
    </row>
    <row r="381">
      <c r="A381" s="8" t="inlineStr">
        <is>
          <t>Vulcanus</t>
        </is>
      </c>
      <c r="B381" s="8" t="n">
        <v>13</v>
      </c>
      <c r="C381" s="8" t="inlineStr">
        <is>
          <t>Expedition</t>
        </is>
      </c>
      <c r="D381" s="8" t="n">
        <v>3</v>
      </c>
      <c r="E381" s="8" t="inlineStr">
        <is>
          <t>True Strike</t>
        </is>
      </c>
      <c r="F381" s="8" t="inlineStr">
        <is>
          <t>Lowers enemy Infantry and Lancer Defense for 3 turns and raises your Marksmen's Attack for 1 turn.</t>
        </is>
      </c>
      <c r="G381" s="8" t="inlineStr">
        <is>
          <t>Enemy Defense reduction</t>
        </is>
      </c>
      <c r="H381" s="13" t="inlineStr">
        <is>
          <t>12%</t>
        </is>
      </c>
      <c r="I381" s="13" t="inlineStr">
        <is>
          <t>24%</t>
        </is>
      </c>
      <c r="J381" s="13" t="inlineStr">
        <is>
          <t>36%</t>
        </is>
      </c>
      <c r="K381" s="13" t="inlineStr">
        <is>
          <t>48%</t>
        </is>
      </c>
      <c r="L381" s="13" t="inlineStr">
        <is>
          <t>60%</t>
        </is>
      </c>
    </row>
    <row r="382">
      <c r="A382" s="8" t="inlineStr">
        <is>
          <t>Vulcanus</t>
        </is>
      </c>
      <c r="B382" s="8" t="n">
        <v>13</v>
      </c>
      <c r="C382" s="8" t="inlineStr">
        <is>
          <t>Expedition</t>
        </is>
      </c>
      <c r="D382" s="8" t="n">
        <v>3</v>
      </c>
      <c r="E382" s="8" t="inlineStr">
        <is>
          <t>True Strike</t>
        </is>
      </c>
      <c r="F382" s="8" t="inlineStr">
        <is>
          <t>Lowers enemy Infantry and Lancer Defense for 3 turns and raises your Marksmen's Attack for 1 turn.</t>
        </is>
      </c>
      <c r="G382" s="8" t="inlineStr">
        <is>
          <t>Marksman Attack bonus</t>
        </is>
      </c>
      <c r="H382" s="13" t="inlineStr">
        <is>
          <t>12%</t>
        </is>
      </c>
      <c r="I382" s="13" t="inlineStr">
        <is>
          <t>24%</t>
        </is>
      </c>
      <c r="J382" s="13" t="inlineStr">
        <is>
          <t>36%</t>
        </is>
      </c>
      <c r="K382" s="13" t="inlineStr">
        <is>
          <t>48%</t>
        </is>
      </c>
      <c r="L382" s="13" t="inlineStr">
        <is>
          <t>60%</t>
        </is>
      </c>
    </row>
    <row r="383">
      <c r="A383" s="8" t="inlineStr">
        <is>
          <t>Cara</t>
        </is>
      </c>
      <c r="B383" s="8" t="n">
        <v>14</v>
      </c>
      <c r="C383" s="8" t="inlineStr">
        <is>
          <t>Exploration</t>
        </is>
      </c>
      <c r="D383" s="8" t="n">
        <v>1</v>
      </c>
      <c r="E383" s="8" t="inlineStr">
        <is>
          <t>Arcane Blast</t>
        </is>
      </c>
      <c r="F383" s="8" t="inlineStr">
        <is>
          <t>A powerful cannon blast that deals area damage.</t>
        </is>
      </c>
      <c r="G383" s="8" t="inlineStr">
        <is>
          <t>Area damage (x Attack)</t>
        </is>
      </c>
      <c r="H383" s="13" t="inlineStr">
        <is>
          <t>200%</t>
        </is>
      </c>
      <c r="I383" s="13" t="inlineStr">
        <is>
          <t>220%</t>
        </is>
      </c>
      <c r="J383" s="13" t="inlineStr">
        <is>
          <t>240%</t>
        </is>
      </c>
      <c r="K383" s="13" t="inlineStr">
        <is>
          <t>260%</t>
        </is>
      </c>
      <c r="L383" s="13" t="inlineStr">
        <is>
          <t>280%</t>
        </is>
      </c>
    </row>
    <row r="384">
      <c r="A384" s="8" t="inlineStr">
        <is>
          <t>Cara</t>
        </is>
      </c>
      <c r="B384" s="8" t="n">
        <v>14</v>
      </c>
      <c r="C384" s="8" t="inlineStr">
        <is>
          <t>Exploration</t>
        </is>
      </c>
      <c r="D384" s="8" t="n">
        <v>2</v>
      </c>
      <c r="E384" s="8" t="inlineStr">
        <is>
          <t>Gloomy Mist</t>
        </is>
      </c>
      <c r="F384" s="8" t="inlineStr">
        <is>
          <t>A mist lowers enemy accuracy and burns them every half second for 2 seconds.</t>
        </is>
      </c>
      <c r="G384" s="8" t="inlineStr">
        <is>
          <t>Accuracy reduction</t>
        </is>
      </c>
      <c r="H384" s="13" t="inlineStr">
        <is>
          <t>7%</t>
        </is>
      </c>
      <c r="I384" s="13" t="inlineStr">
        <is>
          <t>9%</t>
        </is>
      </c>
      <c r="J384" s="13" t="inlineStr">
        <is>
          <t>11%</t>
        </is>
      </c>
      <c r="K384" s="13" t="inlineStr">
        <is>
          <t>13%</t>
        </is>
      </c>
      <c r="L384" s="13" t="inlineStr">
        <is>
          <t>15%</t>
        </is>
      </c>
    </row>
    <row r="385">
      <c r="A385" s="8" t="inlineStr">
        <is>
          <t>Cara</t>
        </is>
      </c>
      <c r="B385" s="8" t="n">
        <v>14</v>
      </c>
      <c r="C385" s="8" t="inlineStr">
        <is>
          <t>Exploration</t>
        </is>
      </c>
      <c r="D385" s="8" t="n">
        <v>2</v>
      </c>
      <c r="E385" s="8" t="inlineStr">
        <is>
          <t>Gloomy Mist</t>
        </is>
      </c>
      <c r="F385" s="8" t="inlineStr">
        <is>
          <t>A mist lowers enemy accuracy and burns them every half second for 2 seconds.</t>
        </is>
      </c>
      <c r="G385" s="8" t="inlineStr">
        <is>
          <t>Burn damage per tick (x Attack)</t>
        </is>
      </c>
      <c r="H385" s="13" t="inlineStr">
        <is>
          <t>7%</t>
        </is>
      </c>
      <c r="I385" s="13" t="inlineStr">
        <is>
          <t>9%</t>
        </is>
      </c>
      <c r="J385" s="13" t="inlineStr">
        <is>
          <t>11%</t>
        </is>
      </c>
      <c r="K385" s="13" t="inlineStr">
        <is>
          <t>13%</t>
        </is>
      </c>
      <c r="L385" s="13" t="inlineStr">
        <is>
          <t>15%</t>
        </is>
      </c>
    </row>
    <row r="386">
      <c r="A386" s="8" t="inlineStr">
        <is>
          <t>Cara</t>
        </is>
      </c>
      <c r="B386" s="8" t="n">
        <v>14</v>
      </c>
      <c r="C386" s="8" t="inlineStr">
        <is>
          <t>Exploration</t>
        </is>
      </c>
      <c r="D386" s="8" t="n">
        <v>3</v>
      </c>
      <c r="E386" s="8" t="inlineStr">
        <is>
          <t>Heartfelt Friendship</t>
        </is>
      </c>
      <c r="F386" s="8" t="inlineStr">
        <is>
          <t>Each time an ally hero falls she gains Attack until the end of the fight.</t>
        </is>
      </c>
      <c r="G386" s="8" t="inlineStr">
        <is>
          <t>Attack per fallen ally</t>
        </is>
      </c>
      <c r="H386" s="13" t="inlineStr">
        <is>
          <t>3%</t>
        </is>
      </c>
      <c r="I386" s="13" t="inlineStr">
        <is>
          <t>6%</t>
        </is>
      </c>
      <c r="J386" s="13" t="inlineStr">
        <is>
          <t>9%</t>
        </is>
      </c>
      <c r="K386" s="13" t="inlineStr">
        <is>
          <t>12%</t>
        </is>
      </c>
      <c r="L386" s="13" t="inlineStr">
        <is>
          <t>15%</t>
        </is>
      </c>
    </row>
    <row r="387">
      <c r="A387" s="8" t="inlineStr">
        <is>
          <t>Cara</t>
        </is>
      </c>
      <c r="B387" s="8" t="n">
        <v>14</v>
      </c>
      <c r="C387" s="8" t="inlineStr">
        <is>
          <t>Expedition</t>
        </is>
      </c>
      <c r="D387" s="8" t="n">
        <v>1</v>
      </c>
      <c r="E387" s="8" t="inlineStr">
        <is>
          <t>Smoky Encounter</t>
        </is>
      </c>
      <c r="F387" s="8" t="inlineStr">
        <is>
          <t>Lowers the Lethality of every enemy troop.</t>
        </is>
      </c>
      <c r="G387" s="8" t="inlineStr">
        <is>
          <t>Enemy Lethality reduction</t>
        </is>
      </c>
      <c r="H387" s="13" t="inlineStr">
        <is>
          <t>4%</t>
        </is>
      </c>
      <c r="I387" s="13" t="inlineStr">
        <is>
          <t>8%</t>
        </is>
      </c>
      <c r="J387" s="13" t="inlineStr">
        <is>
          <t>12%</t>
        </is>
      </c>
      <c r="K387" s="13" t="inlineStr">
        <is>
          <t>16%</t>
        </is>
      </c>
      <c r="L387" s="13" t="inlineStr">
        <is>
          <t>20%</t>
        </is>
      </c>
    </row>
    <row r="388">
      <c r="A388" s="8" t="inlineStr">
        <is>
          <t>Cara</t>
        </is>
      </c>
      <c r="B388" s="8" t="n">
        <v>14</v>
      </c>
      <c r="C388" s="8" t="inlineStr">
        <is>
          <t>Expedition</t>
        </is>
      </c>
      <c r="D388" s="8" t="n">
        <v>2</v>
      </c>
      <c r="E388" s="8" t="inlineStr">
        <is>
          <t>Mech Pet</t>
        </is>
      </c>
      <c r="F388" s="8" t="inlineStr">
        <is>
          <t>Raises the damage of your troops' normal attacks.</t>
        </is>
      </c>
      <c r="G388" s="8" t="inlineStr">
        <is>
          <t>Normal attack damage bonus</t>
        </is>
      </c>
      <c r="H388" s="13" t="inlineStr">
        <is>
          <t>10%</t>
        </is>
      </c>
      <c r="I388" s="13" t="inlineStr">
        <is>
          <t>15%</t>
        </is>
      </c>
      <c r="J388" s="13" t="inlineStr">
        <is>
          <t>20%</t>
        </is>
      </c>
      <c r="K388" s="13" t="inlineStr">
        <is>
          <t>25%</t>
        </is>
      </c>
      <c r="L388" s="13" t="inlineStr">
        <is>
          <t>30%</t>
        </is>
      </c>
    </row>
    <row r="389">
      <c r="A389" s="8" t="inlineStr">
        <is>
          <t>Cara</t>
        </is>
      </c>
      <c r="B389" s="8" t="n">
        <v>14</v>
      </c>
      <c r="C389" s="8" t="inlineStr">
        <is>
          <t>Expedition</t>
        </is>
      </c>
      <c r="D389" s="8" t="n">
        <v>3</v>
      </c>
      <c r="E389" s="8" t="inlineStr">
        <is>
          <t>Witch's Wrath</t>
        </is>
      </c>
      <c r="F389" s="8" t="inlineStr">
        <is>
          <t>Every two attacks her Marksmen deal extra damage, more against enemy Lancers than enemy Marksmen.</t>
        </is>
      </c>
      <c r="G389" s="8" t="inlineStr">
        <is>
          <t>Bonus vs Lancers</t>
        </is>
      </c>
      <c r="H389" s="13" t="inlineStr">
        <is>
          <t>8%</t>
        </is>
      </c>
      <c r="I389" s="13" t="inlineStr">
        <is>
          <t>16%</t>
        </is>
      </c>
      <c r="J389" s="13" t="inlineStr">
        <is>
          <t>24%</t>
        </is>
      </c>
      <c r="K389" s="13" t="inlineStr">
        <is>
          <t>32%</t>
        </is>
      </c>
      <c r="L389" s="13" t="inlineStr">
        <is>
          <t>40%</t>
        </is>
      </c>
    </row>
    <row r="390">
      <c r="A390" s="8" t="inlineStr">
        <is>
          <t>Cara</t>
        </is>
      </c>
      <c r="B390" s="8" t="n">
        <v>14</v>
      </c>
      <c r="C390" s="8" t="inlineStr">
        <is>
          <t>Expedition</t>
        </is>
      </c>
      <c r="D390" s="8" t="n">
        <v>3</v>
      </c>
      <c r="E390" s="8" t="inlineStr">
        <is>
          <t>Witch's Wrath</t>
        </is>
      </c>
      <c r="F390" s="8" t="inlineStr">
        <is>
          <t>Every two attacks her Marksmen deal extra damage, more against enemy Lancers than enemy Marksmen.</t>
        </is>
      </c>
      <c r="G390" s="8" t="inlineStr">
        <is>
          <t>Bonus vs Marksmen</t>
        </is>
      </c>
      <c r="H390" s="13" t="inlineStr">
        <is>
          <t>4%</t>
        </is>
      </c>
      <c r="I390" s="13" t="inlineStr">
        <is>
          <t>8%</t>
        </is>
      </c>
      <c r="J390" s="13" t="inlineStr">
        <is>
          <t>12%</t>
        </is>
      </c>
      <c r="K390" s="13" t="inlineStr">
        <is>
          <t>16%</t>
        </is>
      </c>
      <c r="L390" s="13" t="inlineStr">
        <is>
          <t>20%</t>
        </is>
      </c>
    </row>
    <row r="391">
      <c r="A391" s="8" t="inlineStr">
        <is>
          <t>Dominic</t>
        </is>
      </c>
      <c r="B391" s="8" t="n">
        <v>14</v>
      </c>
      <c r="C391" s="8" t="inlineStr">
        <is>
          <t>Exploration</t>
        </is>
      </c>
      <c r="D391" s="8" t="n">
        <v>1</v>
      </c>
      <c r="E391" s="8" t="inlineStr">
        <is>
          <t>Box Trick</t>
        </is>
      </c>
      <c r="F391" s="8" t="inlineStr">
        <is>
          <t>Three magic boxes punch the target for area damage and stun it for 1 second.</t>
        </is>
      </c>
      <c r="G391" s="8" t="inlineStr">
        <is>
          <t>Area damage (x Attack)</t>
        </is>
      </c>
      <c r="H391" s="13" t="inlineStr">
        <is>
          <t>200%</t>
        </is>
      </c>
      <c r="I391" s="13" t="inlineStr">
        <is>
          <t>220%</t>
        </is>
      </c>
      <c r="J391" s="13" t="inlineStr">
        <is>
          <t>240%</t>
        </is>
      </c>
      <c r="K391" s="13" t="inlineStr">
        <is>
          <t>260%</t>
        </is>
      </c>
      <c r="L391" s="13" t="inlineStr">
        <is>
          <t>280%</t>
        </is>
      </c>
    </row>
    <row r="392">
      <c r="A392" s="8" t="inlineStr">
        <is>
          <t>Dominic</t>
        </is>
      </c>
      <c r="B392" s="8" t="n">
        <v>14</v>
      </c>
      <c r="C392" s="8" t="inlineStr">
        <is>
          <t>Exploration</t>
        </is>
      </c>
      <c r="D392" s="8" t="n">
        <v>2</v>
      </c>
      <c r="E392" s="8" t="inlineStr">
        <is>
          <t>Scorching Roses</t>
        </is>
      </c>
      <c r="F392" s="8" t="inlineStr">
        <is>
          <t>Throws a rose that bursts into flame, damaging the target and burning it for 2 seconds.</t>
        </is>
      </c>
      <c r="G392" s="8" t="inlineStr">
        <is>
          <t>Damage (x Attack)</t>
        </is>
      </c>
      <c r="H392" s="13" t="inlineStr">
        <is>
          <t>100%</t>
        </is>
      </c>
      <c r="I392" s="13" t="inlineStr">
        <is>
          <t>110%</t>
        </is>
      </c>
      <c r="J392" s="13" t="inlineStr">
        <is>
          <t>120%</t>
        </is>
      </c>
      <c r="K392" s="13" t="inlineStr">
        <is>
          <t>130%</t>
        </is>
      </c>
      <c r="L392" s="13" t="inlineStr">
        <is>
          <t>140%</t>
        </is>
      </c>
    </row>
    <row r="393">
      <c r="A393" s="8" t="inlineStr">
        <is>
          <t>Dominic</t>
        </is>
      </c>
      <c r="B393" s="8" t="n">
        <v>14</v>
      </c>
      <c r="C393" s="8" t="inlineStr">
        <is>
          <t>Exploration</t>
        </is>
      </c>
      <c r="D393" s="8" t="n">
        <v>2</v>
      </c>
      <c r="E393" s="8" t="inlineStr">
        <is>
          <t>Scorching Roses</t>
        </is>
      </c>
      <c r="F393" s="8" t="inlineStr">
        <is>
          <t>Throws a rose that bursts into flame, damaging the target and burning it for 2 seconds.</t>
        </is>
      </c>
      <c r="G393" s="8" t="inlineStr">
        <is>
          <t>Burn damage per tick (x Attack)</t>
        </is>
      </c>
      <c r="H393" s="13" t="inlineStr">
        <is>
          <t>4%</t>
        </is>
      </c>
      <c r="I393" s="13" t="inlineStr">
        <is>
          <t>6%</t>
        </is>
      </c>
      <c r="J393" s="13" t="inlineStr">
        <is>
          <t>8%</t>
        </is>
      </c>
      <c r="K393" s="13" t="inlineStr">
        <is>
          <t>10%</t>
        </is>
      </c>
      <c r="L393" s="13" t="inlineStr">
        <is>
          <t>12%</t>
        </is>
      </c>
    </row>
    <row r="394">
      <c r="A394" s="8" t="inlineStr">
        <is>
          <t>Dominic</t>
        </is>
      </c>
      <c r="B394" s="8" t="n">
        <v>14</v>
      </c>
      <c r="C394" s="8" t="inlineStr">
        <is>
          <t>Exploration</t>
        </is>
      </c>
      <c r="D394" s="8" t="n">
        <v>3</v>
      </c>
      <c r="E394" s="8" t="inlineStr">
        <is>
          <t>Double Trouble</t>
        </is>
      </c>
      <c r="F394" s="8" t="inlineStr">
        <is>
          <t>Once per fight, when he reaches 0 Health he vanishes and returns 5 seconds later with part of his Health.</t>
        </is>
      </c>
      <c r="G394" s="8" t="inlineStr">
        <is>
          <t>Health on return</t>
        </is>
      </c>
      <c r="H394" s="13" t="inlineStr">
        <is>
          <t>10%</t>
        </is>
      </c>
      <c r="I394" s="13" t="inlineStr">
        <is>
          <t>20%</t>
        </is>
      </c>
      <c r="J394" s="13" t="inlineStr">
        <is>
          <t>30%</t>
        </is>
      </c>
      <c r="K394" s="13" t="inlineStr">
        <is>
          <t>40%</t>
        </is>
      </c>
      <c r="L394" s="13" t="inlineStr">
        <is>
          <t>50%</t>
        </is>
      </c>
    </row>
    <row r="395">
      <c r="A395" s="8" t="inlineStr">
        <is>
          <t>Dominic</t>
        </is>
      </c>
      <c r="B395" s="8" t="n">
        <v>14</v>
      </c>
      <c r="C395" s="8" t="inlineStr">
        <is>
          <t>Expedition</t>
        </is>
      </c>
      <c r="D395" s="8" t="n">
        <v>1</v>
      </c>
      <c r="E395" s="8" t="inlineStr">
        <is>
          <t>Mystic Mechanism</t>
        </is>
      </c>
      <c r="F395" s="8" t="inlineStr">
        <is>
          <t>Raises the damage every troop in your squad deals.</t>
        </is>
      </c>
      <c r="G395" s="8" t="inlineStr">
        <is>
          <t>Damage dealt bonus</t>
        </is>
      </c>
      <c r="H395" s="13" t="inlineStr">
        <is>
          <t>4%</t>
        </is>
      </c>
      <c r="I395" s="13" t="inlineStr">
        <is>
          <t>8%</t>
        </is>
      </c>
      <c r="J395" s="13" t="inlineStr">
        <is>
          <t>12%</t>
        </is>
      </c>
      <c r="K395" s="13" t="inlineStr">
        <is>
          <t>16%</t>
        </is>
      </c>
      <c r="L395" s="13" t="inlineStr">
        <is>
          <t>20%</t>
        </is>
      </c>
    </row>
    <row r="396">
      <c r="A396" s="8" t="inlineStr">
        <is>
          <t>Dominic</t>
        </is>
      </c>
      <c r="B396" s="8" t="n">
        <v>14</v>
      </c>
      <c r="C396" s="8" t="inlineStr">
        <is>
          <t>Expedition</t>
        </is>
      </c>
      <c r="D396" s="8" t="n">
        <v>2</v>
      </c>
      <c r="E396" s="8" t="inlineStr">
        <is>
          <t>Spiky Assault</t>
        </is>
      </c>
      <c r="F396" s="8" t="inlineStr">
        <is>
          <t>His Lancers deal extra damage per attack, and poisoned targets take more damage for 1 turn.</t>
        </is>
      </c>
      <c r="G396" s="8" t="inlineStr">
        <is>
          <t>Lancer damage bonus</t>
        </is>
      </c>
      <c r="H396" s="13" t="inlineStr">
        <is>
          <t>12%</t>
        </is>
      </c>
      <c r="I396" s="13" t="inlineStr">
        <is>
          <t>24%</t>
        </is>
      </c>
      <c r="J396" s="13" t="inlineStr">
        <is>
          <t>36%</t>
        </is>
      </c>
      <c r="K396" s="13" t="inlineStr">
        <is>
          <t>48%</t>
        </is>
      </c>
      <c r="L396" s="13" t="inlineStr">
        <is>
          <t>60%</t>
        </is>
      </c>
    </row>
    <row r="397">
      <c r="A397" s="8" t="inlineStr">
        <is>
          <t>Dominic</t>
        </is>
      </c>
      <c r="B397" s="8" t="n">
        <v>14</v>
      </c>
      <c r="C397" s="8" t="inlineStr">
        <is>
          <t>Expedition</t>
        </is>
      </c>
      <c r="D397" s="8" t="n">
        <v>2</v>
      </c>
      <c r="E397" s="8" t="inlineStr">
        <is>
          <t>Spiky Assault</t>
        </is>
      </c>
      <c r="F397" s="8" t="inlineStr">
        <is>
          <t>His Lancers deal extra damage per attack, and poisoned targets take more damage for 1 turn.</t>
        </is>
      </c>
      <c r="G397" s="8" t="inlineStr">
        <is>
          <t>Extra damage taken</t>
        </is>
      </c>
      <c r="H397" s="13" t="inlineStr">
        <is>
          <t>5%</t>
        </is>
      </c>
      <c r="I397" s="13" t="inlineStr">
        <is>
          <t>10%</t>
        </is>
      </c>
      <c r="J397" s="13" t="inlineStr">
        <is>
          <t>15%</t>
        </is>
      </c>
      <c r="K397" s="13" t="inlineStr">
        <is>
          <t>20%</t>
        </is>
      </c>
      <c r="L397" s="13" t="inlineStr">
        <is>
          <t>25%</t>
        </is>
      </c>
    </row>
    <row r="398">
      <c r="A398" s="8" t="inlineStr">
        <is>
          <t>Dominic</t>
        </is>
      </c>
      <c r="B398" s="8" t="n">
        <v>14</v>
      </c>
      <c r="C398" s="8" t="inlineStr">
        <is>
          <t>Expedition</t>
        </is>
      </c>
      <c r="D398" s="8" t="n">
        <v>3</v>
      </c>
      <c r="E398" s="8" t="inlineStr">
        <is>
          <t>Mirror Maze</t>
        </is>
      </c>
      <c r="F398" s="8" t="inlineStr">
        <is>
          <t>Your Infantry and Marksmen take less damage and deal more.</t>
        </is>
      </c>
      <c r="G398" s="8" t="inlineStr">
        <is>
          <t>Damage taken reduction</t>
        </is>
      </c>
      <c r="H398" s="13" t="inlineStr">
        <is>
          <t>3%</t>
        </is>
      </c>
      <c r="I398" s="13" t="inlineStr">
        <is>
          <t>6%</t>
        </is>
      </c>
      <c r="J398" s="13" t="inlineStr">
        <is>
          <t>9%</t>
        </is>
      </c>
      <c r="K398" s="13" t="inlineStr">
        <is>
          <t>12%</t>
        </is>
      </c>
      <c r="L398" s="13" t="inlineStr">
        <is>
          <t>15%</t>
        </is>
      </c>
    </row>
    <row r="399">
      <c r="A399" s="8" t="inlineStr">
        <is>
          <t>Dominic</t>
        </is>
      </c>
      <c r="B399" s="8" t="n">
        <v>14</v>
      </c>
      <c r="C399" s="8" t="inlineStr">
        <is>
          <t>Expedition</t>
        </is>
      </c>
      <c r="D399" s="8" t="n">
        <v>3</v>
      </c>
      <c r="E399" s="8" t="inlineStr">
        <is>
          <t>Mirror Maze</t>
        </is>
      </c>
      <c r="F399" s="8" t="inlineStr">
        <is>
          <t>Your Infantry and Marksmen take less damage and deal more.</t>
        </is>
      </c>
      <c r="G399" s="8" t="inlineStr">
        <is>
          <t>Damage dealt bonus</t>
        </is>
      </c>
      <c r="H399" s="13" t="inlineStr">
        <is>
          <t>3%</t>
        </is>
      </c>
      <c r="I399" s="13" t="inlineStr">
        <is>
          <t>6%</t>
        </is>
      </c>
      <c r="J399" s="13" t="inlineStr">
        <is>
          <t>9%</t>
        </is>
      </c>
      <c r="K399" s="13" t="inlineStr">
        <is>
          <t>12%</t>
        </is>
      </c>
      <c r="L399" s="13" t="inlineStr">
        <is>
          <t>15%</t>
        </is>
      </c>
    </row>
    <row r="400">
      <c r="A400" s="8" t="inlineStr">
        <is>
          <t>Elif</t>
        </is>
      </c>
      <c r="B400" s="8" t="n">
        <v>14</v>
      </c>
      <c r="C400" s="8" t="inlineStr">
        <is>
          <t>Exploration</t>
        </is>
      </c>
      <c r="D400" s="8" t="n">
        <v>1</v>
      </c>
      <c r="E400" s="8" t="inlineStr">
        <is>
          <t>Spectral Glide Lv.5</t>
        </is>
      </c>
      <c r="F400" s="8" t="inlineStr">
        <is>
          <t>Dazzles enemies for 1 second and gives her a chance to dodge attacks for 5 seconds.</t>
        </is>
      </c>
      <c r="G400" s="8" t="inlineStr">
        <is>
          <t>Dodge chance</t>
        </is>
      </c>
      <c r="H400" s="13" t="inlineStr">
        <is>
          <t>10%</t>
        </is>
      </c>
      <c r="I400" s="13" t="inlineStr">
        <is>
          <t>15%</t>
        </is>
      </c>
      <c r="J400" s="13" t="inlineStr">
        <is>
          <t>20%</t>
        </is>
      </c>
      <c r="K400" s="13" t="inlineStr">
        <is>
          <t>25%</t>
        </is>
      </c>
      <c r="L400" s="13" t="inlineStr">
        <is>
          <t>30%</t>
        </is>
      </c>
    </row>
    <row r="401">
      <c r="A401" s="8" t="inlineStr">
        <is>
          <t>Elif</t>
        </is>
      </c>
      <c r="B401" s="8" t="n">
        <v>14</v>
      </c>
      <c r="C401" s="8" t="inlineStr">
        <is>
          <t>Exploration</t>
        </is>
      </c>
      <c r="D401" s="8" t="n">
        <v>2</v>
      </c>
      <c r="E401" s="8" t="inlineStr">
        <is>
          <t>Blade Dance Lv.5</t>
        </is>
      </c>
      <c r="F401" s="8" t="inlineStr">
        <is>
          <t>An unpredictable blade strike that damages the target and confuses it for 1 second.</t>
        </is>
      </c>
      <c r="G401" s="8" t="inlineStr">
        <is>
          <t>Damage (x Attack)</t>
        </is>
      </c>
      <c r="H401" s="13" t="inlineStr">
        <is>
          <t>100%</t>
        </is>
      </c>
      <c r="I401" s="13" t="inlineStr">
        <is>
          <t>110%</t>
        </is>
      </c>
      <c r="J401" s="13" t="inlineStr">
        <is>
          <t>120%</t>
        </is>
      </c>
      <c r="K401" s="13" t="inlineStr">
        <is>
          <t>130%</t>
        </is>
      </c>
      <c r="L401" s="13" t="inlineStr">
        <is>
          <t>140%</t>
        </is>
      </c>
    </row>
    <row r="402">
      <c r="A402" s="8" t="inlineStr">
        <is>
          <t>Elif</t>
        </is>
      </c>
      <c r="B402" s="8" t="n">
        <v>14</v>
      </c>
      <c r="C402" s="8" t="inlineStr">
        <is>
          <t>Exploration</t>
        </is>
      </c>
      <c r="D402" s="8" t="n">
        <v>3</v>
      </c>
      <c r="E402" s="8" t="inlineStr">
        <is>
          <t>Ethereal Steps Lv.5</t>
        </is>
      </c>
      <c r="F402" s="8" t="inlineStr">
        <is>
          <t>Adds a dodge chance, and her normal attacks can confuse the target for 1 second.</t>
        </is>
      </c>
      <c r="G402" s="8" t="inlineStr">
        <is>
          <t>Dodge chance</t>
        </is>
      </c>
      <c r="H402" s="13" t="inlineStr">
        <is>
          <t>7%</t>
        </is>
      </c>
      <c r="I402" s="13" t="inlineStr">
        <is>
          <t>10%</t>
        </is>
      </c>
      <c r="J402" s="13" t="inlineStr">
        <is>
          <t>13%</t>
        </is>
      </c>
      <c r="K402" s="13" t="inlineStr">
        <is>
          <t>16%</t>
        </is>
      </c>
      <c r="L402" s="13" t="inlineStr">
        <is>
          <t>20%</t>
        </is>
      </c>
    </row>
    <row r="403">
      <c r="A403" s="8" t="inlineStr">
        <is>
          <t>Elif</t>
        </is>
      </c>
      <c r="B403" s="8" t="n">
        <v>14</v>
      </c>
      <c r="C403" s="8" t="inlineStr">
        <is>
          <t>Exploration</t>
        </is>
      </c>
      <c r="D403" s="8" t="n">
        <v>3</v>
      </c>
      <c r="E403" s="8" t="inlineStr">
        <is>
          <t>Ethereal Steps Lv.5</t>
        </is>
      </c>
      <c r="F403" s="8" t="inlineStr">
        <is>
          <t>Adds a dodge chance, and her normal attacks can confuse the target for 1 second.</t>
        </is>
      </c>
      <c r="G403" s="8" t="inlineStr">
        <is>
          <t>Confuse chance</t>
        </is>
      </c>
      <c r="H403" s="13" t="inlineStr">
        <is>
          <t>7%</t>
        </is>
      </c>
      <c r="I403" s="13" t="inlineStr">
        <is>
          <t>10%</t>
        </is>
      </c>
      <c r="J403" s="13" t="inlineStr">
        <is>
          <t>13%</t>
        </is>
      </c>
      <c r="K403" s="13" t="inlineStr">
        <is>
          <t>16%</t>
        </is>
      </c>
      <c r="L403" s="13" t="inlineStr">
        <is>
          <t>20%</t>
        </is>
      </c>
    </row>
    <row r="404">
      <c r="A404" s="8" t="inlineStr">
        <is>
          <t>Elif</t>
        </is>
      </c>
      <c r="B404" s="8" t="n">
        <v>14</v>
      </c>
      <c r="C404" s="8" t="inlineStr">
        <is>
          <t>Expedition</t>
        </is>
      </c>
      <c r="D404" s="8" t="n">
        <v>1</v>
      </c>
      <c r="E404" s="8" t="inlineStr">
        <is>
          <t>Shackling Veil Lv.5</t>
        </is>
      </c>
      <c r="F404" s="8" t="inlineStr">
        <is>
          <t>Weakens every enemy troop by lowering their Attack.</t>
        </is>
      </c>
      <c r="G404" s="8" t="inlineStr">
        <is>
          <t>Enemy Attack reduction</t>
        </is>
      </c>
      <c r="H404" s="13" t="inlineStr">
        <is>
          <t>5%</t>
        </is>
      </c>
      <c r="I404" s="13" t="inlineStr">
        <is>
          <t>10%</t>
        </is>
      </c>
      <c r="J404" s="13" t="inlineStr">
        <is>
          <t>15%</t>
        </is>
      </c>
      <c r="K404" s="13" t="inlineStr">
        <is>
          <t>20%</t>
        </is>
      </c>
      <c r="L404" s="13" t="inlineStr">
        <is>
          <t>25%</t>
        </is>
      </c>
    </row>
    <row r="405">
      <c r="A405" s="8" t="inlineStr">
        <is>
          <t>Elif</t>
        </is>
      </c>
      <c r="B405" s="8" t="n">
        <v>14</v>
      </c>
      <c r="C405" s="8" t="inlineStr">
        <is>
          <t>Expedition</t>
        </is>
      </c>
      <c r="D405" s="8" t="n">
        <v>2</v>
      </c>
      <c r="E405" s="8" t="inlineStr">
        <is>
          <t>Slash Formation Lv.5</t>
        </is>
      </c>
      <c r="F405" s="8" t="inlineStr">
        <is>
          <t>Raises the Attack and Defense of every troop in your squad.</t>
        </is>
      </c>
      <c r="G405" s="8" t="inlineStr">
        <is>
          <t>Attack bonus</t>
        </is>
      </c>
      <c r="H405" s="13" t="inlineStr">
        <is>
          <t>3%</t>
        </is>
      </c>
      <c r="I405" s="13" t="inlineStr">
        <is>
          <t>6%</t>
        </is>
      </c>
      <c r="J405" s="13" t="inlineStr">
        <is>
          <t>9%</t>
        </is>
      </c>
      <c r="K405" s="13" t="inlineStr">
        <is>
          <t>12%</t>
        </is>
      </c>
      <c r="L405" s="13" t="inlineStr">
        <is>
          <t>15%</t>
        </is>
      </c>
    </row>
    <row r="406">
      <c r="A406" s="8" t="inlineStr">
        <is>
          <t>Elif</t>
        </is>
      </c>
      <c r="B406" s="8" t="n">
        <v>14</v>
      </c>
      <c r="C406" s="8" t="inlineStr">
        <is>
          <t>Expedition</t>
        </is>
      </c>
      <c r="D406" s="8" t="n">
        <v>2</v>
      </c>
      <c r="E406" s="8" t="inlineStr">
        <is>
          <t>Slash Formation Lv.5</t>
        </is>
      </c>
      <c r="F406" s="8" t="inlineStr">
        <is>
          <t>Raises the Attack and Defense of every troop in your squad.</t>
        </is>
      </c>
      <c r="G406" s="8" t="inlineStr">
        <is>
          <t>Defense bonus</t>
        </is>
      </c>
      <c r="H406" s="13" t="inlineStr">
        <is>
          <t>2%</t>
        </is>
      </c>
      <c r="I406" s="13" t="inlineStr">
        <is>
          <t>4%</t>
        </is>
      </c>
      <c r="J406" s="13" t="inlineStr">
        <is>
          <t>6%</t>
        </is>
      </c>
      <c r="K406" s="13" t="inlineStr">
        <is>
          <t>8%</t>
        </is>
      </c>
      <c r="L406" s="13" t="inlineStr">
        <is>
          <t>10%</t>
        </is>
      </c>
    </row>
    <row r="407">
      <c r="A407" s="8" t="inlineStr">
        <is>
          <t>Elif</t>
        </is>
      </c>
      <c r="B407" s="8" t="n">
        <v>14</v>
      </c>
      <c r="C407" s="8" t="inlineStr">
        <is>
          <t>Expedition</t>
        </is>
      </c>
      <c r="D407" s="8" t="n">
        <v>3</v>
      </c>
      <c r="E407" s="8" t="inlineStr">
        <is>
          <t>Enchanting Tapestry Lv.5</t>
        </is>
      </c>
      <c r="F407" s="8" t="inlineStr">
        <is>
          <t>Each time your Infantry attack they gain a shield for 1 turn.</t>
        </is>
      </c>
      <c r="G407" s="8" t="inlineStr">
        <is>
          <t>Shield (% of Attack)</t>
        </is>
      </c>
      <c r="H407" s="13" t="inlineStr">
        <is>
          <t>6%</t>
        </is>
      </c>
      <c r="I407" s="13" t="inlineStr">
        <is>
          <t>12%</t>
        </is>
      </c>
      <c r="J407" s="13" t="inlineStr">
        <is>
          <t>18%</t>
        </is>
      </c>
      <c r="K407" s="13" t="inlineStr">
        <is>
          <t>24%</t>
        </is>
      </c>
      <c r="L407" s="13" t="inlineStr">
        <is>
          <t>30%</t>
        </is>
      </c>
    </row>
    <row r="408">
      <c r="A408" s="8" t="inlineStr">
        <is>
          <t>Estrella</t>
        </is>
      </c>
      <c r="B408" s="8" t="n">
        <v>15</v>
      </c>
      <c r="C408" s="8" t="inlineStr">
        <is>
          <t>Exploration</t>
        </is>
      </c>
      <c r="D408" s="8" t="n">
        <v>1</v>
      </c>
      <c r="E408" s="8" t="inlineStr">
        <is>
          <t>Scorching Scarlet</t>
        </is>
      </c>
      <c r="F408" s="8" t="inlineStr">
        <is>
          <t>Splashes paint for area damage and lowers the Attack of everything it hits for 2 seconds.</t>
        </is>
      </c>
      <c r="G408" s="8" t="inlineStr">
        <is>
          <t>Area damage (x Attack)</t>
        </is>
      </c>
      <c r="H408" s="13" t="inlineStr">
        <is>
          <t>200%</t>
        </is>
      </c>
      <c r="I408" s="13" t="inlineStr">
        <is>
          <t>220%</t>
        </is>
      </c>
      <c r="J408" s="13" t="inlineStr">
        <is>
          <t>240%</t>
        </is>
      </c>
      <c r="K408" s="13" t="inlineStr">
        <is>
          <t>260%</t>
        </is>
      </c>
      <c r="L408" s="13" t="inlineStr">
        <is>
          <t>280%</t>
        </is>
      </c>
    </row>
    <row r="409">
      <c r="A409" s="8" t="inlineStr">
        <is>
          <t>Estrella</t>
        </is>
      </c>
      <c r="B409" s="8" t="n">
        <v>15</v>
      </c>
      <c r="C409" s="8" t="inlineStr">
        <is>
          <t>Exploration</t>
        </is>
      </c>
      <c r="D409" s="8" t="n">
        <v>1</v>
      </c>
      <c r="E409" s="8" t="inlineStr">
        <is>
          <t>Scorching Scarlet</t>
        </is>
      </c>
      <c r="F409" s="8" t="inlineStr">
        <is>
          <t>Splashes paint for area damage and lowers the Attack of everything it hits for 2 seconds.</t>
        </is>
      </c>
      <c r="G409" s="8" t="inlineStr">
        <is>
          <t>Attack reduction</t>
        </is>
      </c>
      <c r="H409" s="13" t="inlineStr">
        <is>
          <t>5%</t>
        </is>
      </c>
      <c r="I409" s="13" t="inlineStr">
        <is>
          <t>10%</t>
        </is>
      </c>
      <c r="J409" s="13" t="inlineStr">
        <is>
          <t>15%</t>
        </is>
      </c>
      <c r="K409" s="13" t="inlineStr">
        <is>
          <t>20%</t>
        </is>
      </c>
      <c r="L409" s="13" t="inlineStr">
        <is>
          <t>25%</t>
        </is>
      </c>
    </row>
    <row r="410">
      <c r="A410" s="8" t="inlineStr">
        <is>
          <t>Estrella</t>
        </is>
      </c>
      <c r="B410" s="8" t="n">
        <v>15</v>
      </c>
      <c r="C410" s="8" t="inlineStr">
        <is>
          <t>Exploration</t>
        </is>
      </c>
      <c r="D410" s="8" t="n">
        <v>2</v>
      </c>
      <c r="E410" s="8" t="inlineStr">
        <is>
          <t>Molten Gold</t>
        </is>
      </c>
      <c r="F410" s="8" t="inlineStr">
        <is>
          <t>Splatters the target with paint that corrodes it, dealing extra damage every half second for 4 seconds.</t>
        </is>
      </c>
      <c r="G410" s="8" t="inlineStr">
        <is>
          <t>Damage (x Attack)</t>
        </is>
      </c>
      <c r="H410" s="13" t="inlineStr">
        <is>
          <t>100%</t>
        </is>
      </c>
      <c r="I410" s="13" t="inlineStr">
        <is>
          <t>110%</t>
        </is>
      </c>
      <c r="J410" s="13" t="inlineStr">
        <is>
          <t>120%</t>
        </is>
      </c>
      <c r="K410" s="13" t="inlineStr">
        <is>
          <t>130%</t>
        </is>
      </c>
      <c r="L410" s="13" t="inlineStr">
        <is>
          <t>140%</t>
        </is>
      </c>
    </row>
    <row r="411">
      <c r="A411" s="8" t="inlineStr">
        <is>
          <t>Estrella</t>
        </is>
      </c>
      <c r="B411" s="8" t="n">
        <v>15</v>
      </c>
      <c r="C411" s="8" t="inlineStr">
        <is>
          <t>Exploration</t>
        </is>
      </c>
      <c r="D411" s="8" t="n">
        <v>2</v>
      </c>
      <c r="E411" s="8" t="inlineStr">
        <is>
          <t>Molten Gold</t>
        </is>
      </c>
      <c r="F411" s="8" t="inlineStr">
        <is>
          <t>Splatters the target with paint that corrodes it, dealing extra damage every half second for 4 seconds.</t>
        </is>
      </c>
      <c r="G411" s="8" t="inlineStr">
        <is>
          <t>Corrosion damage per tick (x Attack)</t>
        </is>
      </c>
      <c r="H411" s="13" t="inlineStr">
        <is>
          <t>2%</t>
        </is>
      </c>
      <c r="I411" s="13" t="inlineStr">
        <is>
          <t>3%</t>
        </is>
      </c>
      <c r="J411" s="13" t="inlineStr">
        <is>
          <t>4%</t>
        </is>
      </c>
      <c r="K411" s="13" t="inlineStr">
        <is>
          <t>5%</t>
        </is>
      </c>
      <c r="L411" s="13" t="inlineStr">
        <is>
          <t>6%</t>
        </is>
      </c>
    </row>
    <row r="412">
      <c r="A412" s="8" t="inlineStr">
        <is>
          <t>Estrella</t>
        </is>
      </c>
      <c r="B412" s="8" t="n">
        <v>15</v>
      </c>
      <c r="C412" s="8" t="inlineStr">
        <is>
          <t>Exploration</t>
        </is>
      </c>
      <c r="D412" s="8" t="n">
        <v>3</v>
      </c>
      <c r="E412" s="8" t="inlineStr">
        <is>
          <t>Midnight Blue</t>
        </is>
      </c>
      <c r="F412" s="8" t="inlineStr">
        <is>
          <t>Her normal attacks paint targets blue and slow their Attack Speed for 2 seconds.</t>
        </is>
      </c>
      <c r="G412" s="8" t="inlineStr">
        <is>
          <t>Attack Speed slow</t>
        </is>
      </c>
      <c r="H412" s="13" t="inlineStr">
        <is>
          <t>10%</t>
        </is>
      </c>
      <c r="I412" s="13" t="inlineStr">
        <is>
          <t>15%</t>
        </is>
      </c>
      <c r="J412" s="13" t="inlineStr">
        <is>
          <t>20%</t>
        </is>
      </c>
      <c r="K412" s="13" t="inlineStr">
        <is>
          <t>25%</t>
        </is>
      </c>
      <c r="L412" s="13" t="inlineStr">
        <is>
          <t>30%</t>
        </is>
      </c>
    </row>
    <row r="413">
      <c r="A413" s="8" t="inlineStr">
        <is>
          <t>Estrella</t>
        </is>
      </c>
      <c r="B413" s="8" t="n">
        <v>15</v>
      </c>
      <c r="C413" s="8" t="inlineStr">
        <is>
          <t>Expedition</t>
        </is>
      </c>
      <c r="D413" s="8" t="n">
        <v>1</v>
      </c>
      <c r="E413" s="8" t="inlineStr">
        <is>
          <t>Corrosive Color</t>
        </is>
      </c>
      <c r="F413" s="8" t="inlineStr">
        <is>
          <t>Lowers the Defense of every enemy troop.</t>
        </is>
      </c>
      <c r="G413" s="8" t="inlineStr">
        <is>
          <t>Enemy Defense reduction</t>
        </is>
      </c>
      <c r="H413" s="13" t="inlineStr">
        <is>
          <t>5%</t>
        </is>
      </c>
      <c r="I413" s="13" t="inlineStr">
        <is>
          <t>10%</t>
        </is>
      </c>
      <c r="J413" s="13" t="inlineStr">
        <is>
          <t>15%</t>
        </is>
      </c>
      <c r="K413" s="13" t="inlineStr">
        <is>
          <t>20%</t>
        </is>
      </c>
      <c r="L413" s="13" t="inlineStr">
        <is>
          <t>25%</t>
        </is>
      </c>
    </row>
    <row r="414">
      <c r="A414" s="8" t="inlineStr">
        <is>
          <t>Estrella</t>
        </is>
      </c>
      <c r="B414" s="8" t="n">
        <v>15</v>
      </c>
      <c r="C414" s="8" t="inlineStr">
        <is>
          <t>Expedition</t>
        </is>
      </c>
      <c r="D414" s="8" t="n">
        <v>2</v>
      </c>
      <c r="E414" s="8" t="inlineStr">
        <is>
          <t>Dawn Canvas</t>
        </is>
      </c>
      <c r="F414" s="8" t="inlineStr">
        <is>
          <t>Raises the Attack and Defense of every troop in your squad.</t>
        </is>
      </c>
      <c r="G414" s="8" t="inlineStr">
        <is>
          <t>Attack bonus</t>
        </is>
      </c>
      <c r="H414" s="13" t="inlineStr">
        <is>
          <t>3%</t>
        </is>
      </c>
      <c r="I414" s="13" t="inlineStr">
        <is>
          <t>6%</t>
        </is>
      </c>
      <c r="J414" s="13" t="inlineStr">
        <is>
          <t>9%</t>
        </is>
      </c>
      <c r="K414" s="13" t="inlineStr">
        <is>
          <t>12%</t>
        </is>
      </c>
      <c r="L414" s="13" t="inlineStr">
        <is>
          <t>15%</t>
        </is>
      </c>
    </row>
    <row r="415">
      <c r="A415" s="8" t="inlineStr">
        <is>
          <t>Estrella</t>
        </is>
      </c>
      <c r="B415" s="8" t="n">
        <v>15</v>
      </c>
      <c r="C415" s="8" t="inlineStr">
        <is>
          <t>Expedition</t>
        </is>
      </c>
      <c r="D415" s="8" t="n">
        <v>2</v>
      </c>
      <c r="E415" s="8" t="inlineStr">
        <is>
          <t>Dawn Canvas</t>
        </is>
      </c>
      <c r="F415" s="8" t="inlineStr">
        <is>
          <t>Raises the Attack and Defense of every troop in your squad.</t>
        </is>
      </c>
      <c r="G415" s="8" t="inlineStr">
        <is>
          <t>Defense bonus</t>
        </is>
      </c>
      <c r="H415" s="13" t="inlineStr">
        <is>
          <t>2%</t>
        </is>
      </c>
      <c r="I415" s="13" t="inlineStr">
        <is>
          <t>4%</t>
        </is>
      </c>
      <c r="J415" s="13" t="inlineStr">
        <is>
          <t>6%</t>
        </is>
      </c>
      <c r="K415" s="13" t="inlineStr">
        <is>
          <t>8%</t>
        </is>
      </c>
      <c r="L415" s="13" t="inlineStr">
        <is>
          <t>10%</t>
        </is>
      </c>
    </row>
    <row r="416">
      <c r="A416" s="8" t="inlineStr">
        <is>
          <t>Estrella</t>
        </is>
      </c>
      <c r="B416" s="8" t="n">
        <v>15</v>
      </c>
      <c r="C416" s="8" t="inlineStr">
        <is>
          <t>Expedition</t>
        </is>
      </c>
      <c r="D416" s="8" t="n">
        <v>3</v>
      </c>
      <c r="E416" s="8" t="inlineStr">
        <is>
          <t>Splendid Scene</t>
        </is>
      </c>
      <c r="F416" s="8" t="inlineStr">
        <is>
          <t>Your Infantry take less damage and your Lancers deal more.</t>
        </is>
      </c>
      <c r="G416" s="8" t="inlineStr">
        <is>
          <t>Infantry damage taken reduction</t>
        </is>
      </c>
      <c r="H416" s="13" t="inlineStr">
        <is>
          <t>5%</t>
        </is>
      </c>
      <c r="I416" s="13" t="inlineStr">
        <is>
          <t>10%</t>
        </is>
      </c>
      <c r="J416" s="13" t="inlineStr">
        <is>
          <t>15%</t>
        </is>
      </c>
      <c r="K416" s="13" t="inlineStr">
        <is>
          <t>20%</t>
        </is>
      </c>
      <c r="L416" s="13" t="inlineStr">
        <is>
          <t>25%</t>
        </is>
      </c>
    </row>
    <row r="417">
      <c r="A417" s="8" t="inlineStr">
        <is>
          <t>Estrella</t>
        </is>
      </c>
      <c r="B417" s="8" t="n">
        <v>15</v>
      </c>
      <c r="C417" s="8" t="inlineStr">
        <is>
          <t>Expedition</t>
        </is>
      </c>
      <c r="D417" s="8" t="n">
        <v>3</v>
      </c>
      <c r="E417" s="8" t="inlineStr">
        <is>
          <t>Splendid Scene</t>
        </is>
      </c>
      <c r="F417" s="8" t="inlineStr">
        <is>
          <t>Your Infantry take less damage and your Lancers deal more.</t>
        </is>
      </c>
      <c r="G417" s="8" t="inlineStr">
        <is>
          <t>Lancer damage bonus</t>
        </is>
      </c>
      <c r="H417" s="13" t="inlineStr">
        <is>
          <t>5%</t>
        </is>
      </c>
      <c r="I417" s="13" t="inlineStr">
        <is>
          <t>10%</t>
        </is>
      </c>
      <c r="J417" s="13" t="inlineStr">
        <is>
          <t>15%</t>
        </is>
      </c>
      <c r="K417" s="13" t="inlineStr">
        <is>
          <t>20%</t>
        </is>
      </c>
      <c r="L417" s="13" t="inlineStr">
        <is>
          <t>25%</t>
        </is>
      </c>
    </row>
    <row r="418">
      <c r="A418" s="8" t="inlineStr">
        <is>
          <t>Hank</t>
        </is>
      </c>
      <c r="B418" s="8" t="n">
        <v>15</v>
      </c>
      <c r="C418" s="8" t="inlineStr">
        <is>
          <t>Exploration</t>
        </is>
      </c>
      <c r="D418" s="8" t="n">
        <v>1</v>
      </c>
      <c r="E418" s="8" t="inlineStr">
        <is>
          <t>Frenzied Slashes</t>
        </is>
      </c>
      <c r="F418" s="8" t="inlineStr">
        <is>
          <t>Switches his saw to Frenzy mode for two slashes in a row. Each slash damages the front line and lowers their Defense for 2 seconds.</t>
        </is>
      </c>
      <c r="G418" s="8" t="inlineStr">
        <is>
          <t>Damage per slash (x Attack)</t>
        </is>
      </c>
      <c r="H418" s="13" t="inlineStr">
        <is>
          <t>120%</t>
        </is>
      </c>
      <c r="I418" s="13" t="inlineStr">
        <is>
          <t>130%</t>
        </is>
      </c>
      <c r="J418" s="13" t="inlineStr">
        <is>
          <t>140%</t>
        </is>
      </c>
      <c r="K418" s="13" t="inlineStr">
        <is>
          <t>150%</t>
        </is>
      </c>
      <c r="L418" s="13" t="inlineStr">
        <is>
          <t>160%</t>
        </is>
      </c>
    </row>
    <row r="419">
      <c r="A419" s="8" t="inlineStr">
        <is>
          <t>Hank</t>
        </is>
      </c>
      <c r="B419" s="8" t="n">
        <v>15</v>
      </c>
      <c r="C419" s="8" t="inlineStr">
        <is>
          <t>Exploration</t>
        </is>
      </c>
      <c r="D419" s="8" t="n">
        <v>1</v>
      </c>
      <c r="E419" s="8" t="inlineStr">
        <is>
          <t>Frenzied Slashes</t>
        </is>
      </c>
      <c r="F419" s="8" t="inlineStr">
        <is>
          <t>Switches his saw to Frenzy mode for two slashes in a row. Each slash damages the front line and lowers their Defense for 2 seconds.</t>
        </is>
      </c>
      <c r="G419" s="8" t="inlineStr">
        <is>
          <t>Defense reduction</t>
        </is>
      </c>
      <c r="H419" s="13" t="inlineStr">
        <is>
          <t>10%</t>
        </is>
      </c>
      <c r="I419" s="13" t="inlineStr">
        <is>
          <t>15%</t>
        </is>
      </c>
      <c r="J419" s="13" t="inlineStr">
        <is>
          <t>20%</t>
        </is>
      </c>
      <c r="K419" s="13" t="inlineStr">
        <is>
          <t>25%</t>
        </is>
      </c>
      <c r="L419" s="13" t="inlineStr">
        <is>
          <t>30%</t>
        </is>
      </c>
    </row>
    <row r="420">
      <c r="A420" s="8" t="inlineStr">
        <is>
          <t>Hank</t>
        </is>
      </c>
      <c r="B420" s="8" t="n">
        <v>15</v>
      </c>
      <c r="C420" s="8" t="inlineStr">
        <is>
          <t>Exploration</t>
        </is>
      </c>
      <c r="D420" s="8" t="n">
        <v>2</v>
      </c>
      <c r="E420" s="8" t="inlineStr">
        <is>
          <t>Urgent Energy</t>
        </is>
      </c>
      <c r="F420" s="8" t="inlineStr">
        <is>
          <t>Once per fight, when his Health drops below 50%, he gets an Attack boost.</t>
        </is>
      </c>
      <c r="G420" s="8" t="inlineStr">
        <is>
          <t>Attack bonus</t>
        </is>
      </c>
      <c r="H420" s="13" t="inlineStr">
        <is>
          <t>10%</t>
        </is>
      </c>
      <c r="I420" s="13" t="inlineStr">
        <is>
          <t>15%</t>
        </is>
      </c>
      <c r="J420" s="13" t="inlineStr">
        <is>
          <t>20%</t>
        </is>
      </c>
      <c r="K420" s="13" t="inlineStr">
        <is>
          <t>25%</t>
        </is>
      </c>
      <c r="L420" s="13" t="inlineStr">
        <is>
          <t>30%</t>
        </is>
      </c>
    </row>
    <row r="421">
      <c r="A421" s="8" t="inlineStr">
        <is>
          <t>Hank</t>
        </is>
      </c>
      <c r="B421" s="8" t="n">
        <v>15</v>
      </c>
      <c r="C421" s="8" t="inlineStr">
        <is>
          <t>Exploration</t>
        </is>
      </c>
      <c r="D421" s="8" t="n">
        <v>3</v>
      </c>
      <c r="E421" s="8" t="inlineStr">
        <is>
          <t>Recycle &amp; Reuse</t>
        </is>
      </c>
      <c r="F421" s="8" t="inlineStr">
        <is>
          <t>Turns part of the damage he deals into Health for himself.</t>
        </is>
      </c>
      <c r="G421" s="8" t="inlineStr">
        <is>
          <t>Life steal</t>
        </is>
      </c>
      <c r="H421" s="13" t="inlineStr">
        <is>
          <t>10%</t>
        </is>
      </c>
      <c r="I421" s="13" t="inlineStr">
        <is>
          <t>15%</t>
        </is>
      </c>
      <c r="J421" s="13" t="inlineStr">
        <is>
          <t>20%</t>
        </is>
      </c>
      <c r="K421" s="13" t="inlineStr">
        <is>
          <t>25%</t>
        </is>
      </c>
      <c r="L421" s="13" t="inlineStr">
        <is>
          <t>30%</t>
        </is>
      </c>
    </row>
    <row r="422">
      <c r="A422" s="8" t="inlineStr">
        <is>
          <t>Hank</t>
        </is>
      </c>
      <c r="B422" s="8" t="n">
        <v>15</v>
      </c>
      <c r="C422" s="8" t="inlineStr">
        <is>
          <t>Expedition</t>
        </is>
      </c>
      <c r="D422" s="8" t="n">
        <v>1</v>
      </c>
      <c r="E422" s="8" t="inlineStr">
        <is>
          <t>Roaring Rage</t>
        </is>
      </c>
      <c r="F422" s="8" t="inlineStr">
        <is>
          <t>Raises the Lethality of every troop in your squad.</t>
        </is>
      </c>
      <c r="G422" s="8" t="inlineStr">
        <is>
          <t>Lethality bonus</t>
        </is>
      </c>
      <c r="H422" s="13" t="inlineStr">
        <is>
          <t>5%</t>
        </is>
      </c>
      <c r="I422" s="13" t="inlineStr">
        <is>
          <t>10%</t>
        </is>
      </c>
      <c r="J422" s="13" t="inlineStr">
        <is>
          <t>15%</t>
        </is>
      </c>
      <c r="K422" s="13" t="inlineStr">
        <is>
          <t>20%</t>
        </is>
      </c>
      <c r="L422" s="13" t="inlineStr">
        <is>
          <t>25%</t>
        </is>
      </c>
    </row>
    <row r="423">
      <c r="A423" s="8" t="inlineStr">
        <is>
          <t>Hank</t>
        </is>
      </c>
      <c r="B423" s="8" t="n">
        <v>15</v>
      </c>
      <c r="C423" s="8" t="inlineStr">
        <is>
          <t>Expedition</t>
        </is>
      </c>
      <c r="D423" s="8" t="n">
        <v>2</v>
      </c>
      <c r="E423" s="8" t="inlineStr">
        <is>
          <t>Flying Sparks</t>
        </is>
      </c>
      <c r="F423" s="8" t="inlineStr">
        <is>
          <t>Every 5 Infantry attacks, all your troops deal more damage and take less.</t>
        </is>
      </c>
      <c r="G423" s="8" t="inlineStr">
        <is>
          <t>Damage dealt bonus</t>
        </is>
      </c>
      <c r="H423" s="13" t="inlineStr">
        <is>
          <t>5%</t>
        </is>
      </c>
      <c r="I423" s="13" t="inlineStr">
        <is>
          <t>10%</t>
        </is>
      </c>
      <c r="J423" s="13" t="inlineStr">
        <is>
          <t>15%</t>
        </is>
      </c>
      <c r="K423" s="13" t="inlineStr">
        <is>
          <t>20%</t>
        </is>
      </c>
      <c r="L423" s="13" t="inlineStr">
        <is>
          <t>25%</t>
        </is>
      </c>
    </row>
    <row r="424">
      <c r="A424" s="8" t="inlineStr">
        <is>
          <t>Hank</t>
        </is>
      </c>
      <c r="B424" s="8" t="n">
        <v>15</v>
      </c>
      <c r="C424" s="8" t="inlineStr">
        <is>
          <t>Expedition</t>
        </is>
      </c>
      <c r="D424" s="8" t="n">
        <v>2</v>
      </c>
      <c r="E424" s="8" t="inlineStr">
        <is>
          <t>Flying Sparks</t>
        </is>
      </c>
      <c r="F424" s="8" t="inlineStr">
        <is>
          <t>Every 5 Infantry attacks, all your troops deal more damage and take less.</t>
        </is>
      </c>
      <c r="G424" s="8" t="inlineStr">
        <is>
          <t>Damage taken reduction</t>
        </is>
      </c>
      <c r="H424" s="13" t="inlineStr">
        <is>
          <t>5%</t>
        </is>
      </c>
      <c r="I424" s="13" t="inlineStr">
        <is>
          <t>10%</t>
        </is>
      </c>
      <c r="J424" s="13" t="inlineStr">
        <is>
          <t>15%</t>
        </is>
      </c>
      <c r="K424" s="13" t="inlineStr">
        <is>
          <t>20%</t>
        </is>
      </c>
      <c r="L424" s="13" t="inlineStr">
        <is>
          <t>25%</t>
        </is>
      </c>
    </row>
    <row r="425">
      <c r="A425" s="8" t="inlineStr">
        <is>
          <t>Hank</t>
        </is>
      </c>
      <c r="B425" s="8" t="n">
        <v>15</v>
      </c>
      <c r="C425" s="8" t="inlineStr">
        <is>
          <t>Expedition</t>
        </is>
      </c>
      <c r="D425" s="8" t="n">
        <v>3</v>
      </c>
      <c r="E425" s="8" t="inlineStr">
        <is>
          <t>Raging Force</t>
        </is>
      </c>
      <c r="F425" s="8" t="inlineStr">
        <is>
          <t>Every 4 turns for 2 turns, enemy Infantry take more damage and enemy Marksmen deal less.</t>
        </is>
      </c>
      <c r="G425" s="8" t="inlineStr">
        <is>
          <t>Infantry damage taken (enemy)</t>
        </is>
      </c>
      <c r="H425" s="13" t="inlineStr">
        <is>
          <t>6%</t>
        </is>
      </c>
      <c r="I425" s="13" t="inlineStr">
        <is>
          <t>12%</t>
        </is>
      </c>
      <c r="J425" s="13" t="inlineStr">
        <is>
          <t>18%</t>
        </is>
      </c>
      <c r="K425" s="13" t="inlineStr">
        <is>
          <t>24%</t>
        </is>
      </c>
      <c r="L425" s="13" t="inlineStr">
        <is>
          <t>30%</t>
        </is>
      </c>
    </row>
    <row r="426">
      <c r="A426" s="8" t="inlineStr">
        <is>
          <t>Hank</t>
        </is>
      </c>
      <c r="B426" s="8" t="n">
        <v>15</v>
      </c>
      <c r="C426" s="8" t="inlineStr">
        <is>
          <t>Expedition</t>
        </is>
      </c>
      <c r="D426" s="8" t="n">
        <v>3</v>
      </c>
      <c r="E426" s="8" t="inlineStr">
        <is>
          <t>Raging Force</t>
        </is>
      </c>
      <c r="F426" s="8" t="inlineStr">
        <is>
          <t>Every 4 turns for 2 turns, enemy Infantry take more damage and enemy Marksmen deal less.</t>
        </is>
      </c>
      <c r="G426" s="8" t="inlineStr">
        <is>
          <t>Marksman damage reduction</t>
        </is>
      </c>
      <c r="H426" s="13" t="inlineStr">
        <is>
          <t>6%</t>
        </is>
      </c>
      <c r="I426" s="13" t="inlineStr">
        <is>
          <t>12%</t>
        </is>
      </c>
      <c r="J426" s="13" t="inlineStr">
        <is>
          <t>18%</t>
        </is>
      </c>
      <c r="K426" s="13" t="inlineStr">
        <is>
          <t>24%</t>
        </is>
      </c>
      <c r="L426" s="13" t="inlineStr">
        <is>
          <t>30%</t>
        </is>
      </c>
    </row>
    <row r="427">
      <c r="A427" s="8" t="inlineStr">
        <is>
          <t>Viveca</t>
        </is>
      </c>
      <c r="B427" s="8" t="n">
        <v>15</v>
      </c>
      <c r="C427" s="8" t="inlineStr">
        <is>
          <t>Exploration</t>
        </is>
      </c>
      <c r="D427" s="8" t="n">
        <v>1</v>
      </c>
      <c r="E427" s="8" t="inlineStr">
        <is>
          <t>Evernight Finale</t>
        </is>
      </c>
      <c r="F427" s="8" t="inlineStr">
        <is>
          <t>A final heavy shot on one target that also causes bleeding for 2 seconds.</t>
        </is>
      </c>
      <c r="G427" s="8" t="inlineStr">
        <is>
          <t>Damage (x Attack)</t>
        </is>
      </c>
      <c r="H427" s="13" t="inlineStr">
        <is>
          <t>200%</t>
        </is>
      </c>
      <c r="I427" s="13" t="inlineStr">
        <is>
          <t>220%</t>
        </is>
      </c>
      <c r="J427" s="13" t="inlineStr">
        <is>
          <t>240%</t>
        </is>
      </c>
      <c r="K427" s="13" t="inlineStr">
        <is>
          <t>260%</t>
        </is>
      </c>
      <c r="L427" s="13" t="inlineStr">
        <is>
          <t>280%</t>
        </is>
      </c>
    </row>
    <row r="428">
      <c r="A428" s="8" t="inlineStr">
        <is>
          <t>Viveca</t>
        </is>
      </c>
      <c r="B428" s="8" t="n">
        <v>15</v>
      </c>
      <c r="C428" s="8" t="inlineStr">
        <is>
          <t>Exploration</t>
        </is>
      </c>
      <c r="D428" s="8" t="n">
        <v>1</v>
      </c>
      <c r="E428" s="8" t="inlineStr">
        <is>
          <t>Evernight Finale</t>
        </is>
      </c>
      <c r="F428" s="8" t="inlineStr">
        <is>
          <t>A final heavy shot on one target that also causes bleeding for 2 seconds.</t>
        </is>
      </c>
      <c r="G428" s="8" t="inlineStr">
        <is>
          <t>Bleed damage per tick (x Attack)</t>
        </is>
      </c>
      <c r="H428" s="13" t="inlineStr">
        <is>
          <t>7%</t>
        </is>
      </c>
      <c r="I428" s="13" t="inlineStr">
        <is>
          <t>9%</t>
        </is>
      </c>
      <c r="J428" s="13" t="inlineStr">
        <is>
          <t>11%</t>
        </is>
      </c>
      <c r="K428" s="13" t="inlineStr">
        <is>
          <t>13%</t>
        </is>
      </c>
      <c r="L428" s="13" t="inlineStr">
        <is>
          <t>15%</t>
        </is>
      </c>
    </row>
    <row r="429">
      <c r="A429" s="8" t="inlineStr">
        <is>
          <t>Viveca</t>
        </is>
      </c>
      <c r="B429" s="8" t="n">
        <v>15</v>
      </c>
      <c r="C429" s="8" t="inlineStr">
        <is>
          <t>Exploration</t>
        </is>
      </c>
      <c r="D429" s="8" t="n">
        <v>2</v>
      </c>
      <c r="E429" s="8" t="inlineStr">
        <is>
          <t>Dark Scion</t>
        </is>
      </c>
      <c r="F429" s="8" t="inlineStr">
        <is>
          <t>Sends a raven to mark one target. It takes extra damage and becomes her locked target for normal attacks and Evernight Finale.</t>
        </is>
      </c>
      <c r="G429" s="8" t="inlineStr">
        <is>
          <t>Mark duration (s)</t>
        </is>
      </c>
      <c r="H429" s="13" t="inlineStr">
        <is>
          <t>6s</t>
        </is>
      </c>
      <c r="I429" s="13" t="inlineStr">
        <is>
          <t>7s</t>
        </is>
      </c>
      <c r="J429" s="13" t="inlineStr">
        <is>
          <t>8s</t>
        </is>
      </c>
      <c r="K429" s="13" t="inlineStr">
        <is>
          <t>9s</t>
        </is>
      </c>
      <c r="L429" s="13" t="inlineStr">
        <is>
          <t>10s</t>
        </is>
      </c>
    </row>
    <row r="430">
      <c r="A430" s="8" t="inlineStr">
        <is>
          <t>Viveca</t>
        </is>
      </c>
      <c r="B430" s="8" t="n">
        <v>15</v>
      </c>
      <c r="C430" s="8" t="inlineStr">
        <is>
          <t>Exploration</t>
        </is>
      </c>
      <c r="D430" s="8" t="n">
        <v>2</v>
      </c>
      <c r="E430" s="8" t="inlineStr">
        <is>
          <t>Dark Scion</t>
        </is>
      </c>
      <c r="F430" s="8" t="inlineStr">
        <is>
          <t>Sends a raven to mark one target. It takes extra damage and becomes her locked target for normal attacks and Evernight Finale.</t>
        </is>
      </c>
      <c r="G430" s="8" t="inlineStr">
        <is>
          <t>Extra damage taken</t>
        </is>
      </c>
      <c r="H430" s="13" t="inlineStr">
        <is>
          <t>5%</t>
        </is>
      </c>
      <c r="I430" s="13" t="inlineStr">
        <is>
          <t>10%</t>
        </is>
      </c>
      <c r="J430" s="13" t="inlineStr">
        <is>
          <t>15%</t>
        </is>
      </c>
      <c r="K430" s="13" t="inlineStr">
        <is>
          <t>20%</t>
        </is>
      </c>
      <c r="L430" s="13" t="inlineStr">
        <is>
          <t>25%</t>
        </is>
      </c>
    </row>
    <row r="431">
      <c r="A431" s="8" t="inlineStr">
        <is>
          <t>Viveca</t>
        </is>
      </c>
      <c r="B431" s="8" t="n">
        <v>15</v>
      </c>
      <c r="C431" s="8" t="inlineStr">
        <is>
          <t>Exploration</t>
        </is>
      </c>
      <c r="D431" s="8" t="n">
        <v>3</v>
      </c>
      <c r="E431" s="8" t="inlineStr">
        <is>
          <t>Frigid Dirge</t>
        </is>
      </c>
      <c r="F431" s="8" t="inlineStr">
        <is>
          <t>Gains Attack for each enemy hero defeated, lasting the rest of the fight.</t>
        </is>
      </c>
      <c r="G431" s="8" t="inlineStr">
        <is>
          <t>Attack per kill</t>
        </is>
      </c>
      <c r="H431" s="13" t="inlineStr">
        <is>
          <t>3%</t>
        </is>
      </c>
      <c r="I431" s="13" t="inlineStr">
        <is>
          <t>6%</t>
        </is>
      </c>
      <c r="J431" s="13" t="inlineStr">
        <is>
          <t>9%</t>
        </is>
      </c>
      <c r="K431" s="13" t="inlineStr">
        <is>
          <t>12%</t>
        </is>
      </c>
      <c r="L431" s="13" t="inlineStr">
        <is>
          <t>15%</t>
        </is>
      </c>
    </row>
    <row r="432">
      <c r="A432" s="8" t="inlineStr">
        <is>
          <t>Viveca</t>
        </is>
      </c>
      <c r="B432" s="8" t="n">
        <v>15</v>
      </c>
      <c r="C432" s="8" t="inlineStr">
        <is>
          <t>Expedition</t>
        </is>
      </c>
      <c r="D432" s="8" t="n">
        <v>1</v>
      </c>
      <c r="E432" s="8" t="inlineStr">
        <is>
          <t>Nightfall Legion</t>
        </is>
      </c>
      <c r="F432" s="8" t="inlineStr">
        <is>
          <t>Raises the Attack of every troop in your squad.</t>
        </is>
      </c>
      <c r="G432" s="8" t="inlineStr">
        <is>
          <t>Attack bonus</t>
        </is>
      </c>
      <c r="H432" s="13" t="inlineStr">
        <is>
          <t>5%</t>
        </is>
      </c>
      <c r="I432" s="13" t="inlineStr">
        <is>
          <t>10%</t>
        </is>
      </c>
      <c r="J432" s="13" t="inlineStr">
        <is>
          <t>15%</t>
        </is>
      </c>
      <c r="K432" s="13" t="inlineStr">
        <is>
          <t>20%</t>
        </is>
      </c>
      <c r="L432" s="13" t="inlineStr">
        <is>
          <t>25%</t>
        </is>
      </c>
    </row>
    <row r="433">
      <c r="A433" s="8" t="inlineStr">
        <is>
          <t>Viveca</t>
        </is>
      </c>
      <c r="B433" s="8" t="n">
        <v>15</v>
      </c>
      <c r="C433" s="8" t="inlineStr">
        <is>
          <t>Expedition</t>
        </is>
      </c>
      <c r="D433" s="8" t="n">
        <v>2</v>
      </c>
      <c r="E433" s="8" t="inlineStr">
        <is>
          <t>Shadow World</t>
        </is>
      </c>
      <c r="F433" s="8" t="inlineStr">
        <is>
          <t>Her Marksmen's attacks have a 20% chance to deal extra damage to all enemy troops.</t>
        </is>
      </c>
      <c r="G433" s="8" t="inlineStr">
        <is>
          <t>Extra damage on proc</t>
        </is>
      </c>
      <c r="H433" s="13" t="inlineStr">
        <is>
          <t>20%</t>
        </is>
      </c>
      <c r="I433" s="13" t="inlineStr">
        <is>
          <t>40%</t>
        </is>
      </c>
      <c r="J433" s="13" t="inlineStr">
        <is>
          <t>60%</t>
        </is>
      </c>
      <c r="K433" s="13" t="inlineStr">
        <is>
          <t>80%</t>
        </is>
      </c>
      <c r="L433" s="13" t="inlineStr">
        <is>
          <t>100%</t>
        </is>
      </c>
    </row>
    <row r="434">
      <c r="A434" s="8" t="inlineStr">
        <is>
          <t>Viveca</t>
        </is>
      </c>
      <c r="B434" s="8" t="n">
        <v>15</v>
      </c>
      <c r="C434" s="8" t="inlineStr">
        <is>
          <t>Expedition</t>
        </is>
      </c>
      <c r="D434" s="8" t="n">
        <v>3</v>
      </c>
      <c r="E434" s="8" t="inlineStr">
        <is>
          <t>Children of the Mist</t>
        </is>
      </c>
      <c r="F434" s="8" t="inlineStr">
        <is>
          <t>Your Infantry take less damage and your Marksmen deal more.</t>
        </is>
      </c>
      <c r="G434" s="8" t="inlineStr">
        <is>
          <t>Infantry damage taken reduction</t>
        </is>
      </c>
      <c r="H434" s="13" t="inlineStr">
        <is>
          <t>2%</t>
        </is>
      </c>
      <c r="I434" s="13" t="inlineStr">
        <is>
          <t>4%</t>
        </is>
      </c>
      <c r="J434" s="13" t="inlineStr">
        <is>
          <t>6%</t>
        </is>
      </c>
      <c r="K434" s="13" t="inlineStr">
        <is>
          <t>8%</t>
        </is>
      </c>
      <c r="L434" s="13" t="inlineStr">
        <is>
          <t>10%</t>
        </is>
      </c>
    </row>
    <row r="435">
      <c r="A435" s="8" t="inlineStr">
        <is>
          <t>Viveca</t>
        </is>
      </c>
      <c r="B435" s="8" t="n">
        <v>15</v>
      </c>
      <c r="C435" s="8" t="inlineStr">
        <is>
          <t>Expedition</t>
        </is>
      </c>
      <c r="D435" s="8" t="n">
        <v>3</v>
      </c>
      <c r="E435" s="8" t="inlineStr">
        <is>
          <t>Children of the Mist</t>
        </is>
      </c>
      <c r="F435" s="8" t="inlineStr">
        <is>
          <t>Your Infantry take less damage and your Marksmen deal more.</t>
        </is>
      </c>
      <c r="G435" s="8" t="inlineStr">
        <is>
          <t>Marksman damage bonus</t>
        </is>
      </c>
      <c r="H435" s="13" t="inlineStr">
        <is>
          <t>2%</t>
        </is>
      </c>
      <c r="I435" s="13" t="inlineStr">
        <is>
          <t>4%</t>
        </is>
      </c>
      <c r="J435" s="13" t="inlineStr">
        <is>
          <t>6%</t>
        </is>
      </c>
      <c r="K435" s="13" t="inlineStr">
        <is>
          <t>8%</t>
        </is>
      </c>
      <c r="L435" s="13" t="inlineStr">
        <is>
          <t>10%</t>
        </is>
      </c>
    </row>
    <row r="436">
      <c r="A436" s="8" t="inlineStr">
        <is>
          <t>Aisling</t>
        </is>
      </c>
      <c r="B436" s="8" t="n">
        <v>16</v>
      </c>
      <c r="C436" s="8" t="inlineStr">
        <is>
          <t>Exploration</t>
        </is>
      </c>
      <c r="D436" s="8" t="n">
        <v>1</v>
      </c>
      <c r="E436" s="8" t="inlineStr">
        <is>
          <t>Wild Growth</t>
        </is>
      </c>
      <c r="F436" s="8" t="inlineStr">
        <is>
          <t>Throws a fast-growing seed that damages nearby enemies and stuns them for 2 seconds.</t>
        </is>
      </c>
      <c r="G436" s="8" t="inlineStr">
        <is>
          <t>Area damage (x Attack)</t>
        </is>
      </c>
      <c r="H436" s="13" t="inlineStr">
        <is>
          <t>200%</t>
        </is>
      </c>
      <c r="I436" s="13" t="inlineStr">
        <is>
          <t>220%</t>
        </is>
      </c>
      <c r="J436" s="13" t="inlineStr">
        <is>
          <t>240%</t>
        </is>
      </c>
      <c r="K436" s="13" t="inlineStr">
        <is>
          <t>260%</t>
        </is>
      </c>
      <c r="L436" s="13" t="inlineStr">
        <is>
          <t>280%</t>
        </is>
      </c>
    </row>
    <row r="437">
      <c r="A437" s="8" t="inlineStr">
        <is>
          <t>Aisling</t>
        </is>
      </c>
      <c r="B437" s="8" t="n">
        <v>16</v>
      </c>
      <c r="C437" s="8" t="inlineStr">
        <is>
          <t>Exploration</t>
        </is>
      </c>
      <c r="D437" s="8" t="n">
        <v>2</v>
      </c>
      <c r="E437" s="8" t="inlineStr">
        <is>
          <t>Fruits of Plenty</t>
        </is>
      </c>
      <c r="F437" s="8" t="inlineStr">
        <is>
          <t>Heals the friendly hero with the lowest Health.</t>
        </is>
      </c>
      <c r="G437" s="8" t="inlineStr">
        <is>
          <t>Heal (x Attack)</t>
        </is>
      </c>
      <c r="H437" s="13" t="inlineStr">
        <is>
          <t>120%</t>
        </is>
      </c>
      <c r="I437" s="13" t="inlineStr">
        <is>
          <t>140%</t>
        </is>
      </c>
      <c r="J437" s="13" t="inlineStr">
        <is>
          <t>160%</t>
        </is>
      </c>
      <c r="K437" s="13" t="inlineStr">
        <is>
          <t>180%</t>
        </is>
      </c>
      <c r="L437" s="13" t="inlineStr">
        <is>
          <t>200%</t>
        </is>
      </c>
    </row>
    <row r="438">
      <c r="A438" s="8" t="inlineStr">
        <is>
          <t>Aisling</t>
        </is>
      </c>
      <c r="B438" s="8" t="n">
        <v>16</v>
      </c>
      <c r="C438" s="8" t="inlineStr">
        <is>
          <t>Exploration</t>
        </is>
      </c>
      <c r="D438" s="8" t="n">
        <v>3</v>
      </c>
      <c r="E438" s="8" t="inlineStr">
        <is>
          <t>Bladestones</t>
        </is>
      </c>
      <c r="F438" s="8" t="inlineStr">
        <is>
          <t>Her normal attacks have a 25% chance to deal extra damage.</t>
        </is>
      </c>
      <c r="G438" s="8" t="inlineStr">
        <is>
          <t>Extra damage (x Attack)</t>
        </is>
      </c>
      <c r="H438" s="13" t="inlineStr">
        <is>
          <t>100%</t>
        </is>
      </c>
      <c r="I438" s="13" t="inlineStr">
        <is>
          <t>110%</t>
        </is>
      </c>
      <c r="J438" s="13" t="inlineStr">
        <is>
          <t>120%</t>
        </is>
      </c>
      <c r="K438" s="13" t="inlineStr">
        <is>
          <t>130%</t>
        </is>
      </c>
      <c r="L438" s="13" t="inlineStr">
        <is>
          <t>140%</t>
        </is>
      </c>
    </row>
    <row r="439">
      <c r="A439" s="8" t="inlineStr">
        <is>
          <t>Aisling</t>
        </is>
      </c>
      <c r="B439" s="8" t="n">
        <v>16</v>
      </c>
      <c r="C439" s="8" t="inlineStr">
        <is>
          <t>Expedition</t>
        </is>
      </c>
      <c r="D439" s="8" t="n">
        <v>1</v>
      </c>
      <c r="E439" s="8" t="inlineStr">
        <is>
          <t>Songs of the Ancestors</t>
        </is>
      </c>
      <c r="F439" s="8" t="inlineStr">
        <is>
          <t>Raises the damage every troop in your squad deals.</t>
        </is>
      </c>
      <c r="G439" s="8" t="inlineStr">
        <is>
          <t>Damage dealt bonus</t>
        </is>
      </c>
      <c r="H439" s="13" t="inlineStr">
        <is>
          <t>4%</t>
        </is>
      </c>
      <c r="I439" s="13" t="inlineStr">
        <is>
          <t>8%</t>
        </is>
      </c>
      <c r="J439" s="13" t="inlineStr">
        <is>
          <t>12%</t>
        </is>
      </c>
      <c r="K439" s="13" t="inlineStr">
        <is>
          <t>16%</t>
        </is>
      </c>
      <c r="L439" s="13" t="inlineStr">
        <is>
          <t>20%</t>
        </is>
      </c>
    </row>
    <row r="440">
      <c r="A440" s="8" t="inlineStr">
        <is>
          <t>Aisling</t>
        </is>
      </c>
      <c r="B440" s="8" t="n">
        <v>16</v>
      </c>
      <c r="C440" s="8" t="inlineStr">
        <is>
          <t>Expedition</t>
        </is>
      </c>
      <c r="D440" s="8" t="n">
        <v>2</v>
      </c>
      <c r="E440" s="8" t="inlineStr">
        <is>
          <t>Rock Strom</t>
        </is>
      </c>
      <c r="F440" s="8" t="inlineStr">
        <is>
          <t>Every 3 turns her Marksmen deal extra damage, and enemies deal less damage for 1 turn.</t>
        </is>
      </c>
      <c r="G440" s="8" t="inlineStr">
        <is>
          <t>Marksman bonus damage</t>
        </is>
      </c>
      <c r="H440" s="13" t="inlineStr">
        <is>
          <t>30%</t>
        </is>
      </c>
      <c r="I440" s="13" t="inlineStr">
        <is>
          <t>60%</t>
        </is>
      </c>
      <c r="J440" s="13" t="inlineStr">
        <is>
          <t>90%</t>
        </is>
      </c>
      <c r="K440" s="13" t="inlineStr">
        <is>
          <t>120%</t>
        </is>
      </c>
      <c r="L440" s="13" t="inlineStr">
        <is>
          <t>150%</t>
        </is>
      </c>
    </row>
    <row r="441">
      <c r="A441" s="8" t="inlineStr">
        <is>
          <t>Aisling</t>
        </is>
      </c>
      <c r="B441" s="8" t="n">
        <v>16</v>
      </c>
      <c r="C441" s="8" t="inlineStr">
        <is>
          <t>Expedition</t>
        </is>
      </c>
      <c r="D441" s="8" t="n">
        <v>2</v>
      </c>
      <c r="E441" s="8" t="inlineStr">
        <is>
          <t>Rock Strom</t>
        </is>
      </c>
      <c r="F441" s="8" t="inlineStr">
        <is>
          <t>Every 3 turns her Marksmen deal extra damage, and enemies deal less damage for 1 turn.</t>
        </is>
      </c>
      <c r="G441" s="8" t="inlineStr">
        <is>
          <t>Enemy damage reduction</t>
        </is>
      </c>
      <c r="H441" s="13" t="inlineStr">
        <is>
          <t>6%</t>
        </is>
      </c>
      <c r="I441" s="13" t="inlineStr">
        <is>
          <t>12%</t>
        </is>
      </c>
      <c r="J441" s="13" t="inlineStr">
        <is>
          <t>18%</t>
        </is>
      </c>
      <c r="K441" s="13" t="inlineStr">
        <is>
          <t>24%</t>
        </is>
      </c>
      <c r="L441" s="13" t="inlineStr">
        <is>
          <t>30%</t>
        </is>
      </c>
    </row>
    <row r="442">
      <c r="A442" s="8" t="inlineStr">
        <is>
          <t>Aisling</t>
        </is>
      </c>
      <c r="B442" s="8" t="n">
        <v>16</v>
      </c>
      <c r="C442" s="8" t="inlineStr">
        <is>
          <t>Expedition</t>
        </is>
      </c>
      <c r="D442" s="8" t="n">
        <v>3</v>
      </c>
      <c r="E442" s="8" t="inlineStr">
        <is>
          <t>Forest Fury</t>
        </is>
      </c>
      <c r="F442" s="8" t="inlineStr">
        <is>
          <t>Every 3 turns her Marksmen's attacks deal extra damage against all enemy troops.</t>
        </is>
      </c>
      <c r="G442" s="8" t="inlineStr">
        <is>
          <t>Extra damage</t>
        </is>
      </c>
      <c r="H442" s="13" t="inlineStr">
        <is>
          <t>8%</t>
        </is>
      </c>
      <c r="I442" s="13" t="inlineStr">
        <is>
          <t>16%</t>
        </is>
      </c>
      <c r="J442" s="13" t="inlineStr">
        <is>
          <t>24%</t>
        </is>
      </c>
      <c r="K442" s="13" t="inlineStr">
        <is>
          <t>32%</t>
        </is>
      </c>
      <c r="L442" s="13" t="inlineStr">
        <is>
          <t>40%</t>
        </is>
      </c>
    </row>
    <row r="443">
      <c r="A443" s="8" t="inlineStr">
        <is>
          <t>Seigel</t>
        </is>
      </c>
      <c r="B443" s="8" t="n">
        <v>16</v>
      </c>
      <c r="C443" s="8" t="inlineStr">
        <is>
          <t>Exploration</t>
        </is>
      </c>
      <c r="D443" s="8" t="n">
        <v>1</v>
      </c>
      <c r="E443" s="8" t="inlineStr">
        <is>
          <t>Spike Guard</t>
        </is>
      </c>
      <c r="F443" s="8" t="inlineStr">
        <is>
          <t>Extends spikes on his armour for 5 seconds, raising Defense and reflecting part of the damage he takes.</t>
        </is>
      </c>
      <c r="G443" s="8" t="inlineStr">
        <is>
          <t>Defense bonus</t>
        </is>
      </c>
      <c r="H443" s="13" t="inlineStr">
        <is>
          <t>5%</t>
        </is>
      </c>
      <c r="I443" s="13" t="inlineStr">
        <is>
          <t>10%</t>
        </is>
      </c>
      <c r="J443" s="13" t="inlineStr">
        <is>
          <t>15%</t>
        </is>
      </c>
      <c r="K443" s="13" t="inlineStr">
        <is>
          <t>20%</t>
        </is>
      </c>
      <c r="L443" s="13" t="inlineStr">
        <is>
          <t>25%</t>
        </is>
      </c>
    </row>
    <row r="444">
      <c r="A444" s="8" t="inlineStr">
        <is>
          <t>Seigel</t>
        </is>
      </c>
      <c r="B444" s="8" t="n">
        <v>16</v>
      </c>
      <c r="C444" s="8" t="inlineStr">
        <is>
          <t>Exploration</t>
        </is>
      </c>
      <c r="D444" s="8" t="n">
        <v>1</v>
      </c>
      <c r="E444" s="8" t="inlineStr">
        <is>
          <t>Spike Guard</t>
        </is>
      </c>
      <c r="F444" s="8" t="inlineStr">
        <is>
          <t>Extends spikes on his armour for 5 seconds, raising Defense and reflecting part of the damage he takes.</t>
        </is>
      </c>
      <c r="G444" s="8" t="inlineStr">
        <is>
          <t>Damage reflected</t>
        </is>
      </c>
      <c r="H444" s="13" t="inlineStr">
        <is>
          <t>5%</t>
        </is>
      </c>
      <c r="I444" s="13" t="inlineStr">
        <is>
          <t>10%</t>
        </is>
      </c>
      <c r="J444" s="13" t="inlineStr">
        <is>
          <t>15%</t>
        </is>
      </c>
      <c r="K444" s="13" t="inlineStr">
        <is>
          <t>20%</t>
        </is>
      </c>
      <c r="L444" s="13" t="inlineStr">
        <is>
          <t>25%</t>
        </is>
      </c>
    </row>
    <row r="445">
      <c r="A445" s="8" t="inlineStr">
        <is>
          <t>Seigel</t>
        </is>
      </c>
      <c r="B445" s="8" t="n">
        <v>16</v>
      </c>
      <c r="C445" s="8" t="inlineStr">
        <is>
          <t>Exploration</t>
        </is>
      </c>
      <c r="D445" s="8" t="n">
        <v>2</v>
      </c>
      <c r="E445" s="8" t="inlineStr">
        <is>
          <t>Spear of the Moon</t>
        </is>
      </c>
      <c r="F445" s="8" t="inlineStr">
        <is>
          <t>A spear lunge hits enemies in a line, then a fan-shaped swing hits enemies in its path.</t>
        </is>
      </c>
      <c r="G445" s="8" t="inlineStr">
        <is>
          <t>Lunge damage (x Attack)</t>
        </is>
      </c>
      <c r="H445" s="13" t="inlineStr">
        <is>
          <t>40%</t>
        </is>
      </c>
      <c r="I445" s="13" t="inlineStr">
        <is>
          <t>45%</t>
        </is>
      </c>
      <c r="J445" s="13" t="inlineStr">
        <is>
          <t>50%</t>
        </is>
      </c>
      <c r="K445" s="13" t="inlineStr">
        <is>
          <t>55%</t>
        </is>
      </c>
      <c r="L445" s="13" t="inlineStr">
        <is>
          <t>60%</t>
        </is>
      </c>
    </row>
    <row r="446">
      <c r="A446" s="8" t="inlineStr">
        <is>
          <t>Seigel</t>
        </is>
      </c>
      <c r="B446" s="8" t="n">
        <v>16</v>
      </c>
      <c r="C446" s="8" t="inlineStr">
        <is>
          <t>Exploration</t>
        </is>
      </c>
      <c r="D446" s="8" t="n">
        <v>2</v>
      </c>
      <c r="E446" s="8" t="inlineStr">
        <is>
          <t>Spear of the Moon</t>
        </is>
      </c>
      <c r="F446" s="8" t="inlineStr">
        <is>
          <t>A spear lunge hits enemies in a line, then a fan-shaped swing hits enemies in its path.</t>
        </is>
      </c>
      <c r="G446" s="8" t="inlineStr">
        <is>
          <t>Swing damage (x Attack)</t>
        </is>
      </c>
      <c r="H446" s="13" t="inlineStr">
        <is>
          <t>40%</t>
        </is>
      </c>
      <c r="I446" s="13" t="inlineStr">
        <is>
          <t>45%</t>
        </is>
      </c>
      <c r="J446" s="13" t="inlineStr">
        <is>
          <t>50%</t>
        </is>
      </c>
      <c r="K446" s="13" t="inlineStr">
        <is>
          <t>55%</t>
        </is>
      </c>
      <c r="L446" s="13" t="inlineStr">
        <is>
          <t>60%</t>
        </is>
      </c>
    </row>
    <row r="447">
      <c r="A447" s="8" t="inlineStr">
        <is>
          <t>Seigel</t>
        </is>
      </c>
      <c r="B447" s="8" t="n">
        <v>16</v>
      </c>
      <c r="C447" s="8" t="inlineStr">
        <is>
          <t>Exploration</t>
        </is>
      </c>
      <c r="D447" s="8" t="n">
        <v>3</v>
      </c>
      <c r="E447" s="8" t="inlineStr">
        <is>
          <t>Cursed Protection</t>
        </is>
      </c>
      <c r="F447" s="8" t="inlineStr">
        <is>
          <t>He takes less damage, and is immune to negative effects for the first few seconds of a fight.</t>
        </is>
      </c>
      <c r="G447" s="8" t="inlineStr">
        <is>
          <t>Damage taken reduction</t>
        </is>
      </c>
      <c r="H447" s="13" t="inlineStr">
        <is>
          <t>4%</t>
        </is>
      </c>
      <c r="I447" s="13" t="inlineStr">
        <is>
          <t>8%</t>
        </is>
      </c>
      <c r="J447" s="13" t="inlineStr">
        <is>
          <t>12%</t>
        </is>
      </c>
      <c r="K447" s="13" t="inlineStr">
        <is>
          <t>16%</t>
        </is>
      </c>
      <c r="L447" s="13" t="inlineStr">
        <is>
          <t>20%</t>
        </is>
      </c>
    </row>
    <row r="448">
      <c r="A448" s="8" t="inlineStr">
        <is>
          <t>Seigel</t>
        </is>
      </c>
      <c r="B448" s="8" t="n">
        <v>16</v>
      </c>
      <c r="C448" s="8" t="inlineStr">
        <is>
          <t>Exploration</t>
        </is>
      </c>
      <c r="D448" s="8" t="n">
        <v>3</v>
      </c>
      <c r="E448" s="8" t="inlineStr">
        <is>
          <t>Cursed Protection</t>
        </is>
      </c>
      <c r="F448" s="8" t="inlineStr">
        <is>
          <t>He takes less damage, and is immune to negative effects for the first few seconds of a fight.</t>
        </is>
      </c>
      <c r="G448" s="8" t="inlineStr">
        <is>
          <t>Immunity duration (s)</t>
        </is>
      </c>
      <c r="H448" s="13" t="inlineStr">
        <is>
          <t>6s</t>
        </is>
      </c>
      <c r="I448" s="13" t="inlineStr">
        <is>
          <t>7s</t>
        </is>
      </c>
      <c r="J448" s="13" t="inlineStr">
        <is>
          <t>8s</t>
        </is>
      </c>
      <c r="K448" s="13" t="inlineStr">
        <is>
          <t>9s</t>
        </is>
      </c>
      <c r="L448" s="13" t="inlineStr">
        <is>
          <t>10s</t>
        </is>
      </c>
    </row>
    <row r="449">
      <c r="A449" s="8" t="inlineStr">
        <is>
          <t>Seigel</t>
        </is>
      </c>
      <c r="B449" s="8" t="n">
        <v>16</v>
      </c>
      <c r="C449" s="8" t="inlineStr">
        <is>
          <t>Expedition</t>
        </is>
      </c>
      <c r="D449" s="8" t="n">
        <v>1</v>
      </c>
      <c r="E449" s="8" t="inlineStr">
        <is>
          <t>Armor of Night</t>
        </is>
      </c>
      <c r="F449" s="8" t="inlineStr">
        <is>
          <t>Raises the Health of every troop in your squad.</t>
        </is>
      </c>
      <c r="G449" s="8" t="inlineStr">
        <is>
          <t>Health bonus</t>
        </is>
      </c>
      <c r="H449" s="13" t="inlineStr">
        <is>
          <t>5%</t>
        </is>
      </c>
      <c r="I449" s="13" t="inlineStr">
        <is>
          <t>10%</t>
        </is>
      </c>
      <c r="J449" s="13" t="inlineStr">
        <is>
          <t>15%</t>
        </is>
      </c>
      <c r="K449" s="13" t="inlineStr">
        <is>
          <t>20%</t>
        </is>
      </c>
      <c r="L449" s="13" t="inlineStr">
        <is>
          <t>25%</t>
        </is>
      </c>
    </row>
    <row r="450">
      <c r="A450" s="8" t="inlineStr">
        <is>
          <t>Seigel</t>
        </is>
      </c>
      <c r="B450" s="8" t="n">
        <v>16</v>
      </c>
      <c r="C450" s="8" t="inlineStr">
        <is>
          <t>Expedition</t>
        </is>
      </c>
      <c r="D450" s="8" t="n">
        <v>2</v>
      </c>
      <c r="E450" s="8" t="inlineStr">
        <is>
          <t>Night's Defense</t>
        </is>
      </c>
      <c r="F450" s="8" t="inlineStr">
        <is>
          <t>A trade-off: your Infantry lose some Attack, but enemy Marksmen and Lancers lose much more.</t>
        </is>
      </c>
      <c r="G450" s="8" t="inlineStr">
        <is>
          <t>Own Infantry Attack reduction</t>
        </is>
      </c>
      <c r="H450" s="13" t="inlineStr">
        <is>
          <t>4%</t>
        </is>
      </c>
      <c r="I450" s="13" t="inlineStr">
        <is>
          <t>8%</t>
        </is>
      </c>
      <c r="J450" s="13" t="inlineStr">
        <is>
          <t>12%</t>
        </is>
      </c>
      <c r="K450" s="13" t="inlineStr">
        <is>
          <t>16%</t>
        </is>
      </c>
      <c r="L450" s="13" t="inlineStr">
        <is>
          <t>20%</t>
        </is>
      </c>
    </row>
    <row r="451">
      <c r="A451" s="8" t="inlineStr">
        <is>
          <t>Seigel</t>
        </is>
      </c>
      <c r="B451" s="8" t="n">
        <v>16</v>
      </c>
      <c r="C451" s="8" t="inlineStr">
        <is>
          <t>Expedition</t>
        </is>
      </c>
      <c r="D451" s="8" t="n">
        <v>2</v>
      </c>
      <c r="E451" s="8" t="inlineStr">
        <is>
          <t>Night's Defense</t>
        </is>
      </c>
      <c r="F451" s="8" t="inlineStr">
        <is>
          <t>A trade-off: your Infantry lose some Attack, but enemy Marksmen and Lancers lose much more.</t>
        </is>
      </c>
      <c r="G451" s="8" t="inlineStr">
        <is>
          <t>Enemy Marksman and Lancer Attack reduction</t>
        </is>
      </c>
      <c r="H451" s="13" t="inlineStr">
        <is>
          <t>7%</t>
        </is>
      </c>
      <c r="I451" s="13" t="inlineStr">
        <is>
          <t>14%</t>
        </is>
      </c>
      <c r="J451" s="13" t="inlineStr">
        <is>
          <t>21%</t>
        </is>
      </c>
      <c r="K451" s="13" t="inlineStr">
        <is>
          <t>28%</t>
        </is>
      </c>
      <c r="L451" s="13" t="inlineStr">
        <is>
          <t>35%</t>
        </is>
      </c>
    </row>
    <row r="452">
      <c r="A452" s="8" t="inlineStr">
        <is>
          <t>Seigel</t>
        </is>
      </c>
      <c r="B452" s="8" t="n">
        <v>16</v>
      </c>
      <c r="C452" s="8" t="inlineStr">
        <is>
          <t>Expedition</t>
        </is>
      </c>
      <c r="D452" s="8" t="n">
        <v>3</v>
      </c>
      <c r="E452" s="8" t="inlineStr">
        <is>
          <t>Vanguard of Eternity</t>
        </is>
      </c>
      <c r="F452" s="8" t="inlineStr">
        <is>
          <t>Your Infantry take less damage, with a bigger cut against skills than normal attacks.</t>
        </is>
      </c>
      <c r="G452" s="8" t="inlineStr">
        <is>
          <t>Normal attack reduction</t>
        </is>
      </c>
      <c r="H452" s="13" t="inlineStr">
        <is>
          <t>5%</t>
        </is>
      </c>
      <c r="I452" s="13" t="inlineStr">
        <is>
          <t>10%</t>
        </is>
      </c>
      <c r="J452" s="13" t="inlineStr">
        <is>
          <t>15%</t>
        </is>
      </c>
      <c r="K452" s="13" t="inlineStr">
        <is>
          <t>20%</t>
        </is>
      </c>
      <c r="L452" s="13" t="inlineStr">
        <is>
          <t>25%</t>
        </is>
      </c>
    </row>
    <row r="453">
      <c r="A453" s="8" t="inlineStr">
        <is>
          <t>Seigel</t>
        </is>
      </c>
      <c r="B453" s="8" t="n">
        <v>16</v>
      </c>
      <c r="C453" s="8" t="inlineStr">
        <is>
          <t>Expedition</t>
        </is>
      </c>
      <c r="D453" s="8" t="n">
        <v>3</v>
      </c>
      <c r="E453" s="8" t="inlineStr">
        <is>
          <t>Vanguard of Eternity</t>
        </is>
      </c>
      <c r="F453" s="8" t="inlineStr">
        <is>
          <t>Your Infantry take less damage, with a bigger cut against skills than normal attacks.</t>
        </is>
      </c>
      <c r="G453" s="8" t="inlineStr">
        <is>
          <t>Skill damage reduction</t>
        </is>
      </c>
      <c r="H453" s="13" t="inlineStr">
        <is>
          <t>6%</t>
        </is>
      </c>
      <c r="I453" s="13" t="inlineStr">
        <is>
          <t>12%</t>
        </is>
      </c>
      <c r="J453" s="13" t="inlineStr">
        <is>
          <t>18%</t>
        </is>
      </c>
      <c r="K453" s="13" t="inlineStr">
        <is>
          <t>24%</t>
        </is>
      </c>
      <c r="L453" s="13" t="inlineStr">
        <is>
          <t>30%</t>
        </is>
      </c>
    </row>
    <row r="454">
      <c r="A454" s="8" t="inlineStr">
        <is>
          <t>Ursar</t>
        </is>
      </c>
      <c r="B454" s="8" t="n">
        <v>16</v>
      </c>
      <c r="C454" s="8" t="inlineStr">
        <is>
          <t>Exploration</t>
        </is>
      </c>
      <c r="D454" s="8" t="n">
        <v>1</v>
      </c>
      <c r="E454" s="8" t="inlineStr">
        <is>
          <t>Ancestral Totem</t>
        </is>
      </c>
      <c r="F454" s="8" t="inlineStr">
        <is>
          <t>Calls a totem spirit that boosts Attack Speed and dodge, plus 25% Movement Speed, for 5 seconds.</t>
        </is>
      </c>
      <c r="G454" s="8" t="inlineStr">
        <is>
          <t>Attack Speed bonus</t>
        </is>
      </c>
      <c r="H454" s="13" t="inlineStr">
        <is>
          <t>20%</t>
        </is>
      </c>
      <c r="I454" s="13" t="inlineStr">
        <is>
          <t>30%</t>
        </is>
      </c>
      <c r="J454" s="13" t="inlineStr">
        <is>
          <t>40%</t>
        </is>
      </c>
      <c r="K454" s="13" t="inlineStr">
        <is>
          <t>50%</t>
        </is>
      </c>
      <c r="L454" s="13" t="inlineStr">
        <is>
          <t>60%</t>
        </is>
      </c>
    </row>
    <row r="455">
      <c r="A455" s="8" t="inlineStr">
        <is>
          <t>Ursar</t>
        </is>
      </c>
      <c r="B455" s="8" t="n">
        <v>16</v>
      </c>
      <c r="C455" s="8" t="inlineStr">
        <is>
          <t>Exploration</t>
        </is>
      </c>
      <c r="D455" s="8" t="n">
        <v>1</v>
      </c>
      <c r="E455" s="8" t="inlineStr">
        <is>
          <t>Ancestral Totem</t>
        </is>
      </c>
      <c r="F455" s="8" t="inlineStr">
        <is>
          <t>Calls a totem spirit that boosts Attack Speed and dodge, plus 25% Movement Speed, for 5 seconds.</t>
        </is>
      </c>
      <c r="G455" s="8" t="inlineStr">
        <is>
          <t>Dodge bonus</t>
        </is>
      </c>
      <c r="H455" s="13" t="inlineStr">
        <is>
          <t>10%</t>
        </is>
      </c>
      <c r="I455" s="13" t="inlineStr">
        <is>
          <t>15%</t>
        </is>
      </c>
      <c r="J455" s="13" t="inlineStr">
        <is>
          <t>20%</t>
        </is>
      </c>
      <c r="K455" s="13" t="inlineStr">
        <is>
          <t>25%</t>
        </is>
      </c>
      <c r="L455" s="13" t="inlineStr">
        <is>
          <t>30%</t>
        </is>
      </c>
    </row>
    <row r="456">
      <c r="A456" s="8" t="inlineStr">
        <is>
          <t>Ursar</t>
        </is>
      </c>
      <c r="B456" s="8" t="n">
        <v>16</v>
      </c>
      <c r="C456" s="8" t="inlineStr">
        <is>
          <t>Exploration</t>
        </is>
      </c>
      <c r="D456" s="8" t="n">
        <v>2</v>
      </c>
      <c r="E456" s="8" t="inlineStr">
        <is>
          <t>Wind Tip</t>
        </is>
      </c>
      <c r="F456" s="8" t="inlineStr">
        <is>
          <t>Throws a mighty spear that damages the target and stuns it for 2 seconds.</t>
        </is>
      </c>
      <c r="G456" s="8" t="inlineStr">
        <is>
          <t>Damage (x Attack)</t>
        </is>
      </c>
      <c r="H456" s="13" t="inlineStr">
        <is>
          <t>100%</t>
        </is>
      </c>
      <c r="I456" s="13" t="inlineStr">
        <is>
          <t>110%</t>
        </is>
      </c>
      <c r="J456" s="13" t="inlineStr">
        <is>
          <t>120%</t>
        </is>
      </c>
      <c r="K456" s="13" t="inlineStr">
        <is>
          <t>130%</t>
        </is>
      </c>
      <c r="L456" s="13" t="inlineStr">
        <is>
          <t>140%</t>
        </is>
      </c>
    </row>
    <row r="457">
      <c r="A457" s="8" t="inlineStr">
        <is>
          <t>Ursar</t>
        </is>
      </c>
      <c r="B457" s="8" t="n">
        <v>16</v>
      </c>
      <c r="C457" s="8" t="inlineStr">
        <is>
          <t>Exploration</t>
        </is>
      </c>
      <c r="D457" s="8" t="n">
        <v>3</v>
      </c>
      <c r="E457" s="8" t="inlineStr">
        <is>
          <t>Dance of the Windbreakers</t>
        </is>
      </c>
      <c r="F457" s="8" t="inlineStr">
        <is>
          <t>Boosts his Attack Speed.</t>
        </is>
      </c>
      <c r="G457" s="8" t="inlineStr">
        <is>
          <t>Attack Speed bonus</t>
        </is>
      </c>
      <c r="H457" s="13" t="inlineStr">
        <is>
          <t>10%</t>
        </is>
      </c>
      <c r="I457" s="13" t="inlineStr">
        <is>
          <t>15%</t>
        </is>
      </c>
      <c r="J457" s="13" t="inlineStr">
        <is>
          <t>20%</t>
        </is>
      </c>
      <c r="K457" s="13" t="inlineStr">
        <is>
          <t>25%</t>
        </is>
      </c>
      <c r="L457" s="13" t="inlineStr">
        <is>
          <t>30%</t>
        </is>
      </c>
    </row>
    <row r="458">
      <c r="A458" s="8" t="inlineStr">
        <is>
          <t>Ursar</t>
        </is>
      </c>
      <c r="B458" s="8" t="n">
        <v>16</v>
      </c>
      <c r="C458" s="8" t="inlineStr">
        <is>
          <t>Expedition</t>
        </is>
      </c>
      <c r="D458" s="8" t="n">
        <v>1</v>
      </c>
      <c r="E458" s="8" t="inlineStr">
        <is>
          <t>Forest Spores</t>
        </is>
      </c>
      <c r="F458" s="8" t="inlineStr">
        <is>
          <t>Hallucinogenic spores lower the Attack of every enemy troop.</t>
        </is>
      </c>
      <c r="G458" s="8" t="inlineStr">
        <is>
          <t>Enemy Attack reduction</t>
        </is>
      </c>
      <c r="H458" s="13" t="inlineStr">
        <is>
          <t>5%</t>
        </is>
      </c>
      <c r="I458" s="13" t="inlineStr">
        <is>
          <t>10%</t>
        </is>
      </c>
      <c r="J458" s="13" t="inlineStr">
        <is>
          <t>15%</t>
        </is>
      </c>
      <c r="K458" s="13" t="inlineStr">
        <is>
          <t>20%</t>
        </is>
      </c>
      <c r="L458" s="13" t="inlineStr">
        <is>
          <t>25%</t>
        </is>
      </c>
    </row>
    <row r="459">
      <c r="A459" s="8" t="inlineStr">
        <is>
          <t>Ursar</t>
        </is>
      </c>
      <c r="B459" s="8" t="n">
        <v>16</v>
      </c>
      <c r="C459" s="8" t="inlineStr">
        <is>
          <t>Expedition</t>
        </is>
      </c>
      <c r="D459" s="8" t="n">
        <v>2</v>
      </c>
      <c r="E459" s="8" t="inlineStr">
        <is>
          <t>Horn of the Ancients</t>
        </is>
      </c>
      <c r="F459" s="8" t="inlineStr">
        <is>
          <t>For 2 turns your Lancers and Marksmen gain Lethality, and enemy Defense drops for 1 turn.</t>
        </is>
      </c>
      <c r="G459" s="8" t="inlineStr">
        <is>
          <t>Lethality bonus</t>
        </is>
      </c>
      <c r="H459" s="13" t="inlineStr">
        <is>
          <t>6%</t>
        </is>
      </c>
      <c r="I459" s="13" t="inlineStr">
        <is>
          <t>12%</t>
        </is>
      </c>
      <c r="J459" s="13" t="inlineStr">
        <is>
          <t>18%</t>
        </is>
      </c>
      <c r="K459" s="13" t="inlineStr">
        <is>
          <t>24%</t>
        </is>
      </c>
      <c r="L459" s="13" t="inlineStr">
        <is>
          <t>30%</t>
        </is>
      </c>
    </row>
    <row r="460">
      <c r="A460" s="8" t="inlineStr">
        <is>
          <t>Ursar</t>
        </is>
      </c>
      <c r="B460" s="8" t="n">
        <v>16</v>
      </c>
      <c r="C460" s="8" t="inlineStr">
        <is>
          <t>Expedition</t>
        </is>
      </c>
      <c r="D460" s="8" t="n">
        <v>2</v>
      </c>
      <c r="E460" s="8" t="inlineStr">
        <is>
          <t>Horn of the Ancients</t>
        </is>
      </c>
      <c r="F460" s="8" t="inlineStr">
        <is>
          <t>For 2 turns your Lancers and Marksmen gain Lethality, and enemy Defense drops for 1 turn.</t>
        </is>
      </c>
      <c r="G460" s="8" t="inlineStr">
        <is>
          <t>Enemy Defense reduction</t>
        </is>
      </c>
      <c r="H460" s="13" t="inlineStr">
        <is>
          <t>6%</t>
        </is>
      </c>
      <c r="I460" s="13" t="inlineStr">
        <is>
          <t>12%</t>
        </is>
      </c>
      <c r="J460" s="13" t="inlineStr">
        <is>
          <t>18%</t>
        </is>
      </c>
      <c r="K460" s="13" t="inlineStr">
        <is>
          <t>24%</t>
        </is>
      </c>
      <c r="L460" s="13" t="inlineStr">
        <is>
          <t>30%</t>
        </is>
      </c>
    </row>
    <row r="461">
      <c r="A461" s="8" t="inlineStr">
        <is>
          <t>Ursar</t>
        </is>
      </c>
      <c r="B461" s="8" t="n">
        <v>16</v>
      </c>
      <c r="C461" s="8" t="inlineStr">
        <is>
          <t>Expedition</t>
        </is>
      </c>
      <c r="D461" s="8" t="n">
        <v>3</v>
      </c>
      <c r="E461" s="8" t="inlineStr">
        <is>
          <t>Poison Tips</t>
        </is>
      </c>
      <c r="F461" s="8" t="inlineStr">
        <is>
          <t>Every 2 attacks his Lancers deal extra damage, and the target takes more damage for 1 turn.</t>
        </is>
      </c>
      <c r="G461" s="8" t="inlineStr">
        <is>
          <t>Lancer bonus damage</t>
        </is>
      </c>
      <c r="H461" s="13" t="inlineStr">
        <is>
          <t>20%</t>
        </is>
      </c>
      <c r="I461" s="13" t="inlineStr">
        <is>
          <t>40%</t>
        </is>
      </c>
      <c r="J461" s="13" t="inlineStr">
        <is>
          <t>60%</t>
        </is>
      </c>
      <c r="K461" s="13" t="inlineStr">
        <is>
          <t>80%</t>
        </is>
      </c>
      <c r="L461" s="13" t="inlineStr">
        <is>
          <t>100%</t>
        </is>
      </c>
    </row>
    <row r="462">
      <c r="A462" s="8" t="inlineStr">
        <is>
          <t>Ursar</t>
        </is>
      </c>
      <c r="B462" s="8" t="n">
        <v>16</v>
      </c>
      <c r="C462" s="8" t="inlineStr">
        <is>
          <t>Expedition</t>
        </is>
      </c>
      <c r="D462" s="8" t="n">
        <v>3</v>
      </c>
      <c r="E462" s="8" t="inlineStr">
        <is>
          <t>Poison Tips</t>
        </is>
      </c>
      <c r="F462" s="8" t="inlineStr">
        <is>
          <t>Every 2 attacks his Lancers deal extra damage, and the target takes more damage for 1 turn.</t>
        </is>
      </c>
      <c r="G462" s="8" t="inlineStr">
        <is>
          <t>Extra damage taken</t>
        </is>
      </c>
      <c r="H462" s="13" t="inlineStr">
        <is>
          <t>5%</t>
        </is>
      </c>
      <c r="I462" s="13" t="inlineStr">
        <is>
          <t>10%</t>
        </is>
      </c>
      <c r="J462" s="13" t="inlineStr">
        <is>
          <t>15%</t>
        </is>
      </c>
      <c r="K462" s="13" t="inlineStr">
        <is>
          <t>20%</t>
        </is>
      </c>
      <c r="L462" s="13" t="inlineStr">
        <is>
          <t>25%</t>
        </is>
      </c>
    </row>
    <row r="463">
      <c r="A463" s="8" t="inlineStr">
        <is>
          <t>Aiden</t>
        </is>
      </c>
      <c r="B463" s="8" t="n">
        <v>17</v>
      </c>
      <c r="C463" s="8" t="inlineStr">
        <is>
          <t>Exploration</t>
        </is>
      </c>
      <c r="D463" s="8" t="n">
        <v>1</v>
      </c>
      <c r="E463" s="8" t="inlineStr">
        <is>
          <t>Torch Shield</t>
        </is>
      </c>
      <c r="F463" s="8" t="inlineStr">
        <is>
          <t>Shields nearby friendlies for 2 seconds, cutting the damage they take, and builds 50 Rage.</t>
        </is>
      </c>
      <c r="G463" s="8" t="inlineStr">
        <is>
          <t>Damage reduction</t>
        </is>
      </c>
      <c r="H463" s="13" t="inlineStr">
        <is>
          <t>30%</t>
        </is>
      </c>
      <c r="I463" s="13" t="inlineStr">
        <is>
          <t>40%</t>
        </is>
      </c>
      <c r="J463" s="13" t="inlineStr">
        <is>
          <t>50%</t>
        </is>
      </c>
      <c r="K463" s="13" t="inlineStr">
        <is>
          <t>60%</t>
        </is>
      </c>
      <c r="L463" s="13" t="inlineStr">
        <is>
          <t>70%</t>
        </is>
      </c>
    </row>
    <row r="464">
      <c r="A464" s="8" t="inlineStr">
        <is>
          <t>Aiden</t>
        </is>
      </c>
      <c r="B464" s="8" t="n">
        <v>17</v>
      </c>
      <c r="C464" s="8" t="inlineStr">
        <is>
          <t>Exploration</t>
        </is>
      </c>
      <c r="D464" s="8" t="n">
        <v>2</v>
      </c>
      <c r="E464" s="8" t="inlineStr">
        <is>
          <t>Fire Fist</t>
        </is>
      </c>
      <c r="F464" s="8" t="inlineStr">
        <is>
          <t>Gains 30 Rage and then enters an Incandescent state, during which his normal attacks ignite targets.</t>
        </is>
      </c>
      <c r="G464" s="8" t="inlineStr">
        <is>
          <t>Incandescent duration (s)</t>
        </is>
      </c>
      <c r="H464" s="13" t="inlineStr">
        <is>
          <t>4s</t>
        </is>
      </c>
      <c r="I464" s="13" t="inlineStr">
        <is>
          <t>4s</t>
        </is>
      </c>
      <c r="J464" s="13" t="inlineStr">
        <is>
          <t>5s</t>
        </is>
      </c>
      <c r="K464" s="13" t="inlineStr">
        <is>
          <t>5s</t>
        </is>
      </c>
      <c r="L464" s="13" t="inlineStr">
        <is>
          <t>6s</t>
        </is>
      </c>
    </row>
    <row r="465">
      <c r="A465" s="8" t="inlineStr">
        <is>
          <t>Aiden</t>
        </is>
      </c>
      <c r="B465" s="8" t="n">
        <v>17</v>
      </c>
      <c r="C465" s="8" t="inlineStr">
        <is>
          <t>Exploration</t>
        </is>
      </c>
      <c r="D465" s="8" t="n">
        <v>2</v>
      </c>
      <c r="E465" s="8" t="inlineStr">
        <is>
          <t>Fire Fist</t>
        </is>
      </c>
      <c r="F465" s="8" t="inlineStr">
        <is>
          <t>Gains 30 Rage and then enters an Incandescent state, during which his normal attacks ignite targets.</t>
        </is>
      </c>
      <c r="G465" s="8" t="inlineStr">
        <is>
          <t>Ignite damage per tick (x Attack)</t>
        </is>
      </c>
      <c r="H465" s="13" t="inlineStr">
        <is>
          <t>4%</t>
        </is>
      </c>
      <c r="I465" s="13" t="inlineStr">
        <is>
          <t>6%</t>
        </is>
      </c>
      <c r="J465" s="13" t="inlineStr">
        <is>
          <t>8%</t>
        </is>
      </c>
      <c r="K465" s="13" t="inlineStr">
        <is>
          <t>10%</t>
        </is>
      </c>
      <c r="L465" s="13" t="inlineStr">
        <is>
          <t>12%</t>
        </is>
      </c>
    </row>
    <row r="466">
      <c r="A466" s="8" t="inlineStr">
        <is>
          <t>Aiden</t>
        </is>
      </c>
      <c r="B466" s="8" t="n">
        <v>17</v>
      </c>
      <c r="C466" s="8" t="inlineStr">
        <is>
          <t>Exploration</t>
        </is>
      </c>
      <c r="D466" s="8" t="n">
        <v>3</v>
      </c>
      <c r="E466" s="8" t="inlineStr">
        <is>
          <t>Bloodlust</t>
        </is>
      </c>
      <c r="F466" s="8" t="inlineStr">
        <is>
          <t>Normal attacks build Rage. At 100 Rage he enters Annihilation Mode, giving his attacks area damage.</t>
        </is>
      </c>
      <c r="G466" s="8" t="inlineStr">
        <is>
          <t>Rage per attack</t>
        </is>
      </c>
      <c r="H466" s="13" t="inlineStr">
        <is>
          <t>2</t>
        </is>
      </c>
      <c r="I466" s="13" t="inlineStr">
        <is>
          <t>4</t>
        </is>
      </c>
      <c r="J466" s="13" t="inlineStr">
        <is>
          <t>6</t>
        </is>
      </c>
      <c r="K466" s="13" t="inlineStr">
        <is>
          <t>8</t>
        </is>
      </c>
      <c r="L466" s="13" t="inlineStr">
        <is>
          <t>10</t>
        </is>
      </c>
    </row>
    <row r="467">
      <c r="A467" s="8" t="inlineStr">
        <is>
          <t>Aiden</t>
        </is>
      </c>
      <c r="B467" s="8" t="n">
        <v>17</v>
      </c>
      <c r="C467" s="8" t="inlineStr">
        <is>
          <t>Exploration</t>
        </is>
      </c>
      <c r="D467" s="8" t="n">
        <v>3</v>
      </c>
      <c r="E467" s="8" t="inlineStr">
        <is>
          <t>Bloodlust</t>
        </is>
      </c>
      <c r="F467" s="8" t="inlineStr">
        <is>
          <t>Normal attacks build Rage. At 100 Rage he enters Annihilation Mode, giving his attacks area damage.</t>
        </is>
      </c>
      <c r="G467" s="8" t="inlineStr">
        <is>
          <t>Mode duration (s)</t>
        </is>
      </c>
      <c r="H467" s="13" t="inlineStr">
        <is>
          <t>3s</t>
        </is>
      </c>
      <c r="I467" s="13" t="inlineStr">
        <is>
          <t>3s</t>
        </is>
      </c>
      <c r="J467" s="13" t="inlineStr">
        <is>
          <t>4s</t>
        </is>
      </c>
      <c r="K467" s="13" t="inlineStr">
        <is>
          <t>4s</t>
        </is>
      </c>
      <c r="L467" s="13" t="inlineStr">
        <is>
          <t>5s</t>
        </is>
      </c>
    </row>
    <row r="468">
      <c r="A468" s="8" t="inlineStr">
        <is>
          <t>Aiden</t>
        </is>
      </c>
      <c r="B468" s="8" t="n">
        <v>17</v>
      </c>
      <c r="C468" s="8" t="inlineStr">
        <is>
          <t>Expedition</t>
        </is>
      </c>
      <c r="D468" s="8" t="n">
        <v>1</v>
      </c>
      <c r="E468" s="8" t="inlineStr">
        <is>
          <t>Starfire Wall</t>
        </is>
      </c>
      <c r="F468" s="8" t="inlineStr">
        <is>
          <t>Your Infantry have a 40% chance to raise all troops' Defense for 1 turn.</t>
        </is>
      </c>
      <c r="G468" s="8" t="inlineStr">
        <is>
          <t>Defense bonus on proc</t>
        </is>
      </c>
      <c r="H468" s="13" t="inlineStr">
        <is>
          <t>10%</t>
        </is>
      </c>
      <c r="I468" s="13" t="inlineStr">
        <is>
          <t>20%</t>
        </is>
      </c>
      <c r="J468" s="13" t="inlineStr">
        <is>
          <t>30%</t>
        </is>
      </c>
      <c r="K468" s="13" t="inlineStr">
        <is>
          <t>40%</t>
        </is>
      </c>
      <c r="L468" s="13" t="inlineStr">
        <is>
          <t>50%</t>
        </is>
      </c>
    </row>
    <row r="469">
      <c r="A469" s="8" t="inlineStr">
        <is>
          <t>Aiden</t>
        </is>
      </c>
      <c r="B469" s="8" t="n">
        <v>17</v>
      </c>
      <c r="C469" s="8" t="inlineStr">
        <is>
          <t>Expedition</t>
        </is>
      </c>
      <c r="D469" s="8" t="n">
        <v>2</v>
      </c>
      <c r="E469" s="8" t="inlineStr">
        <is>
          <t>Scarlet Brigade</t>
        </is>
      </c>
      <c r="F469" s="8" t="inlineStr">
        <is>
          <t>Raises the Attack and Defense of every troop in your squad.</t>
        </is>
      </c>
      <c r="G469" s="8" t="inlineStr">
        <is>
          <t>Attack bonus</t>
        </is>
      </c>
      <c r="H469" s="13" t="inlineStr">
        <is>
          <t>3%</t>
        </is>
      </c>
      <c r="I469" s="13" t="inlineStr">
        <is>
          <t>6%</t>
        </is>
      </c>
      <c r="J469" s="13" t="inlineStr">
        <is>
          <t>9%</t>
        </is>
      </c>
      <c r="K469" s="13" t="inlineStr">
        <is>
          <t>12%</t>
        </is>
      </c>
      <c r="L469" s="13" t="inlineStr">
        <is>
          <t>15%</t>
        </is>
      </c>
    </row>
    <row r="470">
      <c r="A470" s="8" t="inlineStr">
        <is>
          <t>Aiden</t>
        </is>
      </c>
      <c r="B470" s="8" t="n">
        <v>17</v>
      </c>
      <c r="C470" s="8" t="inlineStr">
        <is>
          <t>Expedition</t>
        </is>
      </c>
      <c r="D470" s="8" t="n">
        <v>2</v>
      </c>
      <c r="E470" s="8" t="inlineStr">
        <is>
          <t>Scarlet Brigade</t>
        </is>
      </c>
      <c r="F470" s="8" t="inlineStr">
        <is>
          <t>Raises the Attack and Defense of every troop in your squad.</t>
        </is>
      </c>
      <c r="G470" s="8" t="inlineStr">
        <is>
          <t>Defense bonus</t>
        </is>
      </c>
      <c r="H470" s="13" t="inlineStr">
        <is>
          <t>2%</t>
        </is>
      </c>
      <c r="I470" s="13" t="inlineStr">
        <is>
          <t>4%</t>
        </is>
      </c>
      <c r="J470" s="13" t="inlineStr">
        <is>
          <t>6%</t>
        </is>
      </c>
      <c r="K470" s="13" t="inlineStr">
        <is>
          <t>8%</t>
        </is>
      </c>
      <c r="L470" s="13" t="inlineStr">
        <is>
          <t>10%</t>
        </is>
      </c>
    </row>
    <row r="471">
      <c r="A471" s="8" t="inlineStr">
        <is>
          <t>Aiden</t>
        </is>
      </c>
      <c r="B471" s="8" t="n">
        <v>17</v>
      </c>
      <c r="C471" s="8" t="inlineStr">
        <is>
          <t>Expedition</t>
        </is>
      </c>
      <c r="D471" s="8" t="n">
        <v>3</v>
      </c>
      <c r="E471" s="8" t="inlineStr">
        <is>
          <t>Rush</t>
        </is>
      </c>
      <c r="F471" s="8" t="inlineStr">
        <is>
          <t>Every 2 turns he raises all troops' Attack for 1 turn.</t>
        </is>
      </c>
      <c r="G471" s="8" t="inlineStr">
        <is>
          <t>Attack bonus</t>
        </is>
      </c>
      <c r="H471" s="13" t="inlineStr">
        <is>
          <t>10%</t>
        </is>
      </c>
      <c r="I471" s="13" t="inlineStr">
        <is>
          <t>20%</t>
        </is>
      </c>
      <c r="J471" s="13" t="inlineStr">
        <is>
          <t>30%</t>
        </is>
      </c>
      <c r="K471" s="13" t="inlineStr">
        <is>
          <t>40%</t>
        </is>
      </c>
      <c r="L471" s="13" t="inlineStr">
        <is>
          <t>50%</t>
        </is>
      </c>
    </row>
    <row r="472">
      <c r="A472" s="8" t="inlineStr">
        <is>
          <t>Bertha</t>
        </is>
      </c>
      <c r="B472" s="8" t="n">
        <v>17</v>
      </c>
      <c r="C472" s="8" t="inlineStr">
        <is>
          <t>Exploration</t>
        </is>
      </c>
      <c r="D472" s="8" t="n">
        <v>1</v>
      </c>
      <c r="E472" s="8" t="inlineStr">
        <is>
          <t>Healing Rain</t>
        </is>
      </c>
      <c r="F472" s="8" t="inlineStr">
        <is>
          <t>Heals all friendly heroes and gives them an Attack boost for 3 seconds.</t>
        </is>
      </c>
      <c r="G472" s="8" t="inlineStr">
        <is>
          <t>Heal (x Attack)</t>
        </is>
      </c>
      <c r="H472" s="13" t="inlineStr">
        <is>
          <t>200%</t>
        </is>
      </c>
      <c r="I472" s="13" t="inlineStr">
        <is>
          <t>220%</t>
        </is>
      </c>
      <c r="J472" s="13" t="inlineStr">
        <is>
          <t>240%</t>
        </is>
      </c>
      <c r="K472" s="13" t="inlineStr">
        <is>
          <t>260%</t>
        </is>
      </c>
      <c r="L472" s="13" t="inlineStr">
        <is>
          <t>280%</t>
        </is>
      </c>
    </row>
    <row r="473">
      <c r="A473" s="8" t="inlineStr">
        <is>
          <t>Bertha</t>
        </is>
      </c>
      <c r="B473" s="8" t="n">
        <v>17</v>
      </c>
      <c r="C473" s="8" t="inlineStr">
        <is>
          <t>Exploration</t>
        </is>
      </c>
      <c r="D473" s="8" t="n">
        <v>1</v>
      </c>
      <c r="E473" s="8" t="inlineStr">
        <is>
          <t>Healing Rain</t>
        </is>
      </c>
      <c r="F473" s="8" t="inlineStr">
        <is>
          <t>Heals all friendly heroes and gives them an Attack boost for 3 seconds.</t>
        </is>
      </c>
      <c r="G473" s="8" t="inlineStr">
        <is>
          <t>Attack bonus</t>
        </is>
      </c>
      <c r="H473" s="13" t="inlineStr">
        <is>
          <t>5%</t>
        </is>
      </c>
      <c r="I473" s="13" t="inlineStr">
        <is>
          <t>10%</t>
        </is>
      </c>
      <c r="J473" s="13" t="inlineStr">
        <is>
          <t>15%</t>
        </is>
      </c>
      <c r="K473" s="13" t="inlineStr">
        <is>
          <t>20%</t>
        </is>
      </c>
      <c r="L473" s="13" t="inlineStr">
        <is>
          <t>25%</t>
        </is>
      </c>
    </row>
    <row r="474">
      <c r="A474" s="8" t="inlineStr">
        <is>
          <t>Bertha</t>
        </is>
      </c>
      <c r="B474" s="8" t="n">
        <v>17</v>
      </c>
      <c r="C474" s="8" t="inlineStr">
        <is>
          <t>Exploration</t>
        </is>
      </c>
      <c r="D474" s="8" t="n">
        <v>2</v>
      </c>
      <c r="E474" s="8" t="inlineStr">
        <is>
          <t>Tranquilizer</t>
        </is>
      </c>
      <c r="F474" s="8" t="inlineStr">
        <is>
          <t>A numbing needle that damages the target and holds it in place for 1.5 seconds.</t>
        </is>
      </c>
      <c r="G474" s="8" t="inlineStr">
        <is>
          <t>Damage (x Attack)</t>
        </is>
      </c>
      <c r="H474" s="13" t="inlineStr">
        <is>
          <t>100%</t>
        </is>
      </c>
      <c r="I474" s="13" t="inlineStr">
        <is>
          <t>110%</t>
        </is>
      </c>
      <c r="J474" s="13" t="inlineStr">
        <is>
          <t>120%</t>
        </is>
      </c>
      <c r="K474" s="13" t="inlineStr">
        <is>
          <t>130%</t>
        </is>
      </c>
      <c r="L474" s="13" t="inlineStr">
        <is>
          <t>140%</t>
        </is>
      </c>
    </row>
    <row r="475">
      <c r="A475" s="8" t="inlineStr">
        <is>
          <t>Bertha</t>
        </is>
      </c>
      <c r="B475" s="8" t="n">
        <v>17</v>
      </c>
      <c r="C475" s="8" t="inlineStr">
        <is>
          <t>Exploration</t>
        </is>
      </c>
      <c r="D475" s="8" t="n">
        <v>3</v>
      </c>
      <c r="E475" s="8" t="inlineStr">
        <is>
          <t>Enhancement Reagent</t>
        </is>
      </c>
      <c r="F475" s="8" t="inlineStr">
        <is>
          <t>Boosts the damage of her own normal attacks.</t>
        </is>
      </c>
      <c r="G475" s="8" t="inlineStr">
        <is>
          <t>Normal attack damage bonus</t>
        </is>
      </c>
      <c r="H475" s="13" t="inlineStr">
        <is>
          <t>10%</t>
        </is>
      </c>
      <c r="I475" s="13" t="inlineStr">
        <is>
          <t>15%</t>
        </is>
      </c>
      <c r="J475" s="13" t="inlineStr">
        <is>
          <t>20%</t>
        </is>
      </c>
      <c r="K475" s="13" t="inlineStr">
        <is>
          <t>25%</t>
        </is>
      </c>
      <c r="L475" s="13" t="inlineStr">
        <is>
          <t>30%</t>
        </is>
      </c>
    </row>
    <row r="476">
      <c r="A476" s="8" t="inlineStr">
        <is>
          <t>Bertha</t>
        </is>
      </c>
      <c r="B476" s="8" t="n">
        <v>17</v>
      </c>
      <c r="C476" s="8" t="inlineStr">
        <is>
          <t>Expedition</t>
        </is>
      </c>
      <c r="D476" s="8" t="n">
        <v>1</v>
      </c>
      <c r="E476" s="8" t="inlineStr">
        <is>
          <t>Dissection</t>
        </is>
      </c>
      <c r="F476" s="8" t="inlineStr">
        <is>
          <t>Raises the Lethality of your whole squad.</t>
        </is>
      </c>
      <c r="G476" s="8" t="inlineStr">
        <is>
          <t>Lethality bonus</t>
        </is>
      </c>
      <c r="H476" s="13" t="inlineStr">
        <is>
          <t>5%</t>
        </is>
      </c>
      <c r="I476" s="13" t="inlineStr">
        <is>
          <t>10%</t>
        </is>
      </c>
      <c r="J476" s="13" t="inlineStr">
        <is>
          <t>15%</t>
        </is>
      </c>
      <c r="K476" s="13" t="inlineStr">
        <is>
          <t>20%</t>
        </is>
      </c>
      <c r="L476" s="13" t="inlineStr">
        <is>
          <t>25%</t>
        </is>
      </c>
    </row>
    <row r="477">
      <c r="A477" s="8" t="inlineStr">
        <is>
          <t>Bertha</t>
        </is>
      </c>
      <c r="B477" s="8" t="n">
        <v>17</v>
      </c>
      <c r="C477" s="8" t="inlineStr">
        <is>
          <t>Expedition</t>
        </is>
      </c>
      <c r="D477" s="8" t="n">
        <v>2</v>
      </c>
      <c r="E477" s="8" t="inlineStr">
        <is>
          <t>Vengeance</t>
        </is>
      </c>
      <c r="F477" s="8" t="inlineStr">
        <is>
          <t>Every second Lancer attack deals extra damage, and your Marksmen gain Attack for 1 turn.</t>
        </is>
      </c>
      <c r="G477" s="8" t="inlineStr">
        <is>
          <t>Lancer bonus damage</t>
        </is>
      </c>
      <c r="H477" s="13" t="inlineStr">
        <is>
          <t>25%</t>
        </is>
      </c>
      <c r="I477" s="13" t="inlineStr">
        <is>
          <t>50%</t>
        </is>
      </c>
      <c r="J477" s="13" t="inlineStr">
        <is>
          <t>75%</t>
        </is>
      </c>
      <c r="K477" s="13" t="inlineStr">
        <is>
          <t>100%</t>
        </is>
      </c>
      <c r="L477" s="13" t="inlineStr">
        <is>
          <t>125%</t>
        </is>
      </c>
    </row>
    <row r="478">
      <c r="A478" s="8" t="inlineStr">
        <is>
          <t>Bertha</t>
        </is>
      </c>
      <c r="B478" s="8" t="n">
        <v>17</v>
      </c>
      <c r="C478" s="8" t="inlineStr">
        <is>
          <t>Expedition</t>
        </is>
      </c>
      <c r="D478" s="8" t="n">
        <v>2</v>
      </c>
      <c r="E478" s="8" t="inlineStr">
        <is>
          <t>Vengeance</t>
        </is>
      </c>
      <c r="F478" s="8" t="inlineStr">
        <is>
          <t>Every second Lancer attack deals extra damage, and your Marksmen gain Attack for 1 turn.</t>
        </is>
      </c>
      <c r="G478" s="8" t="inlineStr">
        <is>
          <t>Marksman Attack bonus</t>
        </is>
      </c>
      <c r="H478" s="13" t="inlineStr">
        <is>
          <t>6%</t>
        </is>
      </c>
      <c r="I478" s="13" t="inlineStr">
        <is>
          <t>12%</t>
        </is>
      </c>
      <c r="J478" s="13" t="inlineStr">
        <is>
          <t>18%</t>
        </is>
      </c>
      <c r="K478" s="13" t="inlineStr">
        <is>
          <t>24%</t>
        </is>
      </c>
      <c r="L478" s="13" t="inlineStr">
        <is>
          <t>30%</t>
        </is>
      </c>
    </row>
    <row r="479">
      <c r="A479" s="8" t="inlineStr">
        <is>
          <t>Bertha</t>
        </is>
      </c>
      <c r="B479" s="8" t="n">
        <v>17</v>
      </c>
      <c r="C479" s="8" t="inlineStr">
        <is>
          <t>Expedition</t>
        </is>
      </c>
      <c r="D479" s="8" t="n">
        <v>3</v>
      </c>
      <c r="E479" s="8" t="inlineStr">
        <is>
          <t>Lethal Precision</t>
        </is>
      </c>
      <c r="F479" s="8" t="inlineStr">
        <is>
          <t>Her Lancers deal bonus damage per attack and weaken the target for 1 turn so it takes more damage.</t>
        </is>
      </c>
      <c r="G479" s="8" t="inlineStr">
        <is>
          <t>Lancer bonus damage</t>
        </is>
      </c>
      <c r="H479" s="13" t="inlineStr">
        <is>
          <t>12%</t>
        </is>
      </c>
      <c r="I479" s="13" t="inlineStr">
        <is>
          <t>24%</t>
        </is>
      </c>
      <c r="J479" s="13" t="inlineStr">
        <is>
          <t>36%</t>
        </is>
      </c>
      <c r="K479" s="13" t="inlineStr">
        <is>
          <t>48%</t>
        </is>
      </c>
      <c r="L479" s="13" t="inlineStr">
        <is>
          <t>60%</t>
        </is>
      </c>
    </row>
    <row r="480">
      <c r="A480" s="8" t="inlineStr">
        <is>
          <t>Bertha</t>
        </is>
      </c>
      <c r="B480" s="8" t="n">
        <v>17</v>
      </c>
      <c r="C480" s="8" t="inlineStr">
        <is>
          <t>Expedition</t>
        </is>
      </c>
      <c r="D480" s="8" t="n">
        <v>3</v>
      </c>
      <c r="E480" s="8" t="inlineStr">
        <is>
          <t>Lethal Precision</t>
        </is>
      </c>
      <c r="F480" s="8" t="inlineStr">
        <is>
          <t>Her Lancers deal bonus damage per attack and weaken the target for 1 turn so it takes more damage.</t>
        </is>
      </c>
      <c r="G480" s="8" t="inlineStr">
        <is>
          <t>Extra damage taken</t>
        </is>
      </c>
      <c r="H480" s="13" t="inlineStr">
        <is>
          <t>5%</t>
        </is>
      </c>
      <c r="I480" s="13" t="inlineStr">
        <is>
          <t>10%</t>
        </is>
      </c>
      <c r="J480" s="13" t="inlineStr">
        <is>
          <t>15%</t>
        </is>
      </c>
      <c r="K480" s="13" t="inlineStr">
        <is>
          <t>20%</t>
        </is>
      </c>
      <c r="L480" s="13" t="inlineStr">
        <is>
          <t>25%</t>
        </is>
      </c>
    </row>
    <row r="481">
      <c r="A481" s="8" t="inlineStr">
        <is>
          <t>Eleanor</t>
        </is>
      </c>
      <c r="B481" s="8" t="n">
        <v>17</v>
      </c>
      <c r="C481" s="8" t="inlineStr">
        <is>
          <t>Exploration</t>
        </is>
      </c>
      <c r="D481" s="8" t="n">
        <v>1</v>
      </c>
      <c r="E481" s="8" t="inlineStr">
        <is>
          <t>Call to the Chieftain</t>
        </is>
      </c>
      <c r="F481" s="8" t="inlineStr">
        <is>
          <t>Pulls out her robo-dog Chieftain for 5 seconds. He copies part of her Attack, Defense and Max Health and deals area sonic damage.</t>
        </is>
      </c>
      <c r="G481" s="8" t="inlineStr">
        <is>
          <t>Attack inherited</t>
        </is>
      </c>
      <c r="H481" s="13" t="inlineStr">
        <is>
          <t>40%</t>
        </is>
      </c>
      <c r="I481" s="13" t="inlineStr">
        <is>
          <t>50%</t>
        </is>
      </c>
      <c r="J481" s="13" t="inlineStr">
        <is>
          <t>60%</t>
        </is>
      </c>
      <c r="K481" s="13" t="inlineStr">
        <is>
          <t>70%</t>
        </is>
      </c>
      <c r="L481" s="13" t="inlineStr">
        <is>
          <t>80%</t>
        </is>
      </c>
    </row>
    <row r="482">
      <c r="A482" s="8" t="inlineStr">
        <is>
          <t>Eleanor</t>
        </is>
      </c>
      <c r="B482" s="8" t="n">
        <v>17</v>
      </c>
      <c r="C482" s="8" t="inlineStr">
        <is>
          <t>Exploration</t>
        </is>
      </c>
      <c r="D482" s="8" t="n">
        <v>1</v>
      </c>
      <c r="E482" s="8" t="inlineStr">
        <is>
          <t>Call to the Chieftain</t>
        </is>
      </c>
      <c r="F482" s="8" t="inlineStr">
        <is>
          <t>Pulls out her robo-dog Chieftain for 5 seconds. He copies part of her Attack, Defense and Max Health and deals area sonic damage.</t>
        </is>
      </c>
      <c r="G482" s="8" t="inlineStr">
        <is>
          <t>Defense and Health inherited</t>
        </is>
      </c>
      <c r="H482" s="13" t="inlineStr">
        <is>
          <t>60%</t>
        </is>
      </c>
      <c r="I482" s="13" t="inlineStr">
        <is>
          <t>70%</t>
        </is>
      </c>
      <c r="J482" s="13" t="inlineStr">
        <is>
          <t>80%</t>
        </is>
      </c>
      <c r="K482" s="13" t="inlineStr">
        <is>
          <t>90%</t>
        </is>
      </c>
      <c r="L482" s="13" t="inlineStr">
        <is>
          <t>100%</t>
        </is>
      </c>
    </row>
    <row r="483">
      <c r="A483" s="8" t="inlineStr">
        <is>
          <t>Eleanor</t>
        </is>
      </c>
      <c r="B483" s="8" t="n">
        <v>17</v>
      </c>
      <c r="C483" s="8" t="inlineStr">
        <is>
          <t>Exploration</t>
        </is>
      </c>
      <c r="D483" s="8" t="n">
        <v>2</v>
      </c>
      <c r="E483" s="8" t="inlineStr">
        <is>
          <t>Risk Reduction</t>
        </is>
      </c>
      <c r="F483" s="8" t="inlineStr">
        <is>
          <t>Fires three quick shots at one target, then the target takes extra damage for 2 seconds.</t>
        </is>
      </c>
      <c r="G483" s="8" t="inlineStr">
        <is>
          <t>Damage per shot (x Attack)</t>
        </is>
      </c>
      <c r="H483" s="13" t="inlineStr">
        <is>
          <t>35%</t>
        </is>
      </c>
      <c r="I483" s="13" t="inlineStr">
        <is>
          <t>40%</t>
        </is>
      </c>
      <c r="J483" s="13" t="inlineStr">
        <is>
          <t>45%</t>
        </is>
      </c>
      <c r="K483" s="13" t="inlineStr">
        <is>
          <t>50%</t>
        </is>
      </c>
      <c r="L483" s="13" t="inlineStr">
        <is>
          <t>60%</t>
        </is>
      </c>
    </row>
    <row r="484">
      <c r="A484" s="8" t="inlineStr">
        <is>
          <t>Eleanor</t>
        </is>
      </c>
      <c r="B484" s="8" t="n">
        <v>17</v>
      </c>
      <c r="C484" s="8" t="inlineStr">
        <is>
          <t>Exploration</t>
        </is>
      </c>
      <c r="D484" s="8" t="n">
        <v>2</v>
      </c>
      <c r="E484" s="8" t="inlineStr">
        <is>
          <t>Risk Reduction</t>
        </is>
      </c>
      <c r="F484" s="8" t="inlineStr">
        <is>
          <t>Fires three quick shots at one target, then the target takes extra damage for 2 seconds.</t>
        </is>
      </c>
      <c r="G484" s="8" t="inlineStr">
        <is>
          <t>Extra damage taken</t>
        </is>
      </c>
      <c r="H484" s="13" t="inlineStr">
        <is>
          <t>4%</t>
        </is>
      </c>
      <c r="I484" s="13" t="inlineStr">
        <is>
          <t>8%</t>
        </is>
      </c>
      <c r="J484" s="13" t="inlineStr">
        <is>
          <t>12%</t>
        </is>
      </c>
      <c r="K484" s="13" t="inlineStr">
        <is>
          <t>16%</t>
        </is>
      </c>
      <c r="L484" s="13" t="inlineStr">
        <is>
          <t>20%</t>
        </is>
      </c>
    </row>
    <row r="485">
      <c r="A485" s="8" t="inlineStr">
        <is>
          <t>Eleanor</t>
        </is>
      </c>
      <c r="B485" s="8" t="n">
        <v>17</v>
      </c>
      <c r="C485" s="8" t="inlineStr">
        <is>
          <t>Exploration</t>
        </is>
      </c>
      <c r="D485" s="8" t="n">
        <v>3</v>
      </c>
      <c r="E485" s="8" t="inlineStr">
        <is>
          <t>Deduct &amp; Conquer</t>
        </is>
      </c>
      <c r="F485" s="8" t="inlineStr">
        <is>
          <t>Gains Attack for every fallen enemy hero.</t>
        </is>
      </c>
      <c r="G485" s="8" t="inlineStr">
        <is>
          <t>Attack per fallen hero</t>
        </is>
      </c>
      <c r="H485" s="13" t="inlineStr">
        <is>
          <t>3%</t>
        </is>
      </c>
      <c r="I485" s="13" t="inlineStr">
        <is>
          <t>6%</t>
        </is>
      </c>
      <c r="J485" s="13" t="inlineStr">
        <is>
          <t>9%</t>
        </is>
      </c>
      <c r="K485" s="13" t="inlineStr">
        <is>
          <t>12%</t>
        </is>
      </c>
      <c r="L485" s="13" t="inlineStr">
        <is>
          <t>15%</t>
        </is>
      </c>
    </row>
    <row r="486">
      <c r="A486" s="8" t="inlineStr">
        <is>
          <t>Eleanor</t>
        </is>
      </c>
      <c r="B486" s="8" t="n">
        <v>17</v>
      </c>
      <c r="C486" s="8" t="inlineStr">
        <is>
          <t>Expedition</t>
        </is>
      </c>
      <c r="D486" s="8" t="n">
        <v>1</v>
      </c>
      <c r="E486" s="8" t="inlineStr">
        <is>
          <t>Theoretical Advantage</t>
        </is>
      </c>
      <c r="F486" s="8" t="inlineStr">
        <is>
          <t>Lowers the Defense of every enemy troop.</t>
        </is>
      </c>
      <c r="G486" s="8" t="inlineStr">
        <is>
          <t>Enemy Defense reduction</t>
        </is>
      </c>
      <c r="H486" s="13" t="inlineStr">
        <is>
          <t>5%</t>
        </is>
      </c>
      <c r="I486" s="13" t="inlineStr">
        <is>
          <t>10%</t>
        </is>
      </c>
      <c r="J486" s="13" t="inlineStr">
        <is>
          <t>15%</t>
        </is>
      </c>
      <c r="K486" s="13" t="inlineStr">
        <is>
          <t>20%</t>
        </is>
      </c>
      <c r="L486" s="13" t="inlineStr">
        <is>
          <t>25%</t>
        </is>
      </c>
    </row>
    <row r="487">
      <c r="A487" s="8" t="inlineStr">
        <is>
          <t>Eleanor</t>
        </is>
      </c>
      <c r="B487" s="8" t="n">
        <v>17</v>
      </c>
      <c r="C487" s="8" t="inlineStr">
        <is>
          <t>Expedition</t>
        </is>
      </c>
      <c r="D487" s="8" t="n">
        <v>2</v>
      </c>
      <c r="E487" s="8" t="inlineStr">
        <is>
          <t>Pierce Caliber</t>
        </is>
      </c>
      <c r="F487" s="8" t="inlineStr">
        <is>
          <t>Her Marksmen have a 50% chance to deal extra damage, and the squad's Marksmen deal more for 1 turn.</t>
        </is>
      </c>
      <c r="G487" s="8" t="inlineStr">
        <is>
          <t>Extra damage on proc</t>
        </is>
      </c>
      <c r="H487" s="13" t="inlineStr">
        <is>
          <t>20%</t>
        </is>
      </c>
      <c r="I487" s="13" t="inlineStr">
        <is>
          <t>40%</t>
        </is>
      </c>
      <c r="J487" s="13" t="inlineStr">
        <is>
          <t>60%</t>
        </is>
      </c>
      <c r="K487" s="13" t="inlineStr">
        <is>
          <t>80%</t>
        </is>
      </c>
      <c r="L487" s="13" t="inlineStr">
        <is>
          <t>100%</t>
        </is>
      </c>
    </row>
    <row r="488">
      <c r="A488" s="8" t="inlineStr">
        <is>
          <t>Eleanor</t>
        </is>
      </c>
      <c r="B488" s="8" t="n">
        <v>17</v>
      </c>
      <c r="C488" s="8" t="inlineStr">
        <is>
          <t>Expedition</t>
        </is>
      </c>
      <c r="D488" s="8" t="n">
        <v>2</v>
      </c>
      <c r="E488" s="8" t="inlineStr">
        <is>
          <t>Pierce Caliber</t>
        </is>
      </c>
      <c r="F488" s="8" t="inlineStr">
        <is>
          <t>Her Marksmen have a 50% chance to deal extra damage, and the squad's Marksmen deal more for 1 turn.</t>
        </is>
      </c>
      <c r="G488" s="8" t="inlineStr">
        <is>
          <t>Marksman damage bonus</t>
        </is>
      </c>
      <c r="H488" s="13" t="inlineStr">
        <is>
          <t>8%</t>
        </is>
      </c>
      <c r="I488" s="13" t="inlineStr">
        <is>
          <t>16%</t>
        </is>
      </c>
      <c r="J488" s="13" t="inlineStr">
        <is>
          <t>24%</t>
        </is>
      </c>
      <c r="K488" s="13" t="inlineStr">
        <is>
          <t>32%</t>
        </is>
      </c>
      <c r="L488" s="13" t="inlineStr">
        <is>
          <t>40%</t>
        </is>
      </c>
    </row>
    <row r="489">
      <c r="A489" s="8" t="inlineStr">
        <is>
          <t>Eleanor</t>
        </is>
      </c>
      <c r="B489" s="8" t="n">
        <v>17</v>
      </c>
      <c r="C489" s="8" t="inlineStr">
        <is>
          <t>Expedition</t>
        </is>
      </c>
      <c r="D489" s="8" t="n">
        <v>3</v>
      </c>
      <c r="E489" s="8" t="inlineStr">
        <is>
          <t>Trajectoids</t>
        </is>
      </c>
      <c r="F489" s="8" t="inlineStr">
        <is>
          <t>Every 2 attacks her Marksmen deal extra damage to enemy Marksmen.</t>
        </is>
      </c>
      <c r="G489" s="8" t="inlineStr">
        <is>
          <t>Bonus vs Marksmen</t>
        </is>
      </c>
      <c r="H489" s="13" t="inlineStr">
        <is>
          <t>12%</t>
        </is>
      </c>
      <c r="I489" s="13" t="inlineStr">
        <is>
          <t>24%</t>
        </is>
      </c>
      <c r="J489" s="13" t="inlineStr">
        <is>
          <t>36%</t>
        </is>
      </c>
      <c r="K489" s="13" t="inlineStr">
        <is>
          <t>48%</t>
        </is>
      </c>
      <c r="L489" s="13" t="inlineStr">
        <is>
          <t>60%</t>
        </is>
      </c>
    </row>
  </sheetData>
  <autoFilter ref="A1:L4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00" customWidth="1" min="7" max="7"/>
  </cols>
  <sheetData>
    <row r="1">
      <c r="A1" s="22" t="inlineStr">
        <is>
          <t>Yes / No</t>
        </is>
      </c>
      <c r="B1" s="22" t="inlineStr">
        <is>
          <t>Stars</t>
        </is>
      </c>
      <c r="C1" s="22" t="inlineStr">
        <is>
          <t>Star progress</t>
        </is>
      </c>
      <c r="D1" s="22" t="inlineStr">
        <is>
          <t>Skill level</t>
        </is>
      </c>
      <c r="E1" s="22" t="inlineStr">
        <is>
          <t>Widget level</t>
        </is>
      </c>
      <c r="G1" s="23" t="inlineStr">
        <is>
          <t>Notes</t>
        </is>
      </c>
    </row>
    <row r="2">
      <c r="A2" s="24" t="inlineStr">
        <is>
          <t>Yes</t>
        </is>
      </c>
      <c r="B2" s="24" t="n">
        <v>0</v>
      </c>
      <c r="C2" s="24" t="n">
        <v>0</v>
      </c>
      <c r="D2" s="24" t="n">
        <v>1</v>
      </c>
      <c r="E2" s="24" t="n">
        <v>0</v>
      </c>
      <c r="G2" s="25" t="inlineStr">
        <is>
          <t>These are the dropdown choices. You can edit them if the game changes.</t>
        </is>
      </c>
    </row>
    <row r="3">
      <c r="A3" s="24" t="inlineStr">
        <is>
          <t>No</t>
        </is>
      </c>
      <c r="B3" s="24" t="n">
        <v>1</v>
      </c>
      <c r="C3" s="24" t="n">
        <v>1</v>
      </c>
      <c r="D3" s="24" t="n">
        <v>2</v>
      </c>
      <c r="E3" s="24" t="n">
        <v>1</v>
      </c>
      <c r="G3" s="25" t="inlineStr">
        <is>
          <t>Star progress: how many of the 5 segments towards your next star you have filled (0 to 5). Leave at 0 for a 5-star hero.</t>
        </is>
      </c>
    </row>
    <row r="4">
      <c r="B4" s="24" t="n">
        <v>2</v>
      </c>
      <c r="C4" s="24" t="n">
        <v>2</v>
      </c>
      <c r="D4" s="24" t="n">
        <v>3</v>
      </c>
      <c r="E4" s="24" t="n">
        <v>2</v>
      </c>
      <c r="G4" s="25" t="inlineStr">
        <is>
          <t>Widget level: the exclusive weapon level. Assumed 0 (none) to 10. Epic and Rare heroes have no widgets.</t>
        </is>
      </c>
    </row>
    <row r="5">
      <c r="B5" s="24" t="n">
        <v>3</v>
      </c>
      <c r="C5" s="24" t="n">
        <v>3</v>
      </c>
      <c r="D5" s="24" t="n">
        <v>4</v>
      </c>
      <c r="E5" s="24" t="n">
        <v>3</v>
      </c>
    </row>
    <row r="6">
      <c r="B6" s="24" t="n">
        <v>4</v>
      </c>
      <c r="C6" s="24" t="n">
        <v>4</v>
      </c>
      <c r="D6" s="24" t="n">
        <v>5</v>
      </c>
      <c r="E6" s="24" t="n">
        <v>4</v>
      </c>
    </row>
    <row r="7">
      <c r="B7" s="24" t="n">
        <v>5</v>
      </c>
      <c r="C7" s="24" t="n">
        <v>5</v>
      </c>
      <c r="E7" s="24" t="n">
        <v>5</v>
      </c>
    </row>
    <row r="8">
      <c r="E8" s="24" t="n">
        <v>6</v>
      </c>
    </row>
    <row r="9">
      <c r="E9" s="24" t="n">
        <v>7</v>
      </c>
    </row>
    <row r="10">
      <c r="E10" s="24" t="n">
        <v>8</v>
      </c>
    </row>
    <row r="11">
      <c r="E11" s="24" t="n">
        <v>9</v>
      </c>
    </row>
    <row r="12">
      <c r="E12" s="2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2026-10-26T19:04:02Z</dcterms:created>
  <dcterms:modified xmlns:dcterms="http://purl.org/dc/terms/" xmlns:xsi="http://www.w3.org/2001/XMLSchema-instance" xsi:type="dcterms:W3CDTF">2026-10-26T19:04:02Z</dcterms:modified>
</cp:coreProperties>
</file>